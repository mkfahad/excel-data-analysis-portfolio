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ab\Desktop\Entri\Excel\Online dataset practices\"/>
    </mc:Choice>
  </mc:AlternateContent>
  <xr:revisionPtr revIDLastSave="0" documentId="13_ncr:1_{C7E794AC-9598-4FEF-A87E-0EDE56E8B283}" xr6:coauthVersionLast="47" xr6:coauthVersionMax="47" xr10:uidLastSave="{00000000-0000-0000-0000-000000000000}"/>
  <bookViews>
    <workbookView xWindow="-120" yWindow="-120" windowWidth="21840" windowHeight="13140" activeTab="4" xr2:uid="{00000000-000D-0000-FFFF-FFFF00000000}"/>
  </bookViews>
  <sheets>
    <sheet name="bike_buyers" sheetId="1" r:id="rId1"/>
    <sheet name="Bike_Buyers_Cleaned" sheetId="2" r:id="rId2"/>
    <sheet name="Pivot Table 1" sheetId="3" r:id="rId3"/>
    <sheet name="Pivot Table 2" sheetId="4" r:id="rId4"/>
    <sheet name="Dashboard" sheetId="5" r:id="rId5"/>
  </sheets>
  <definedNames>
    <definedName name="_xlnm._FilterDatabase" localSheetId="0" hidden="1">bike_buyers!$A$1:$M$1001</definedName>
    <definedName name="_xlnm._FilterDatabase" localSheetId="1" hidden="1">Bike_Buyers_Cleaned!$A$1:$N$1001</definedName>
    <definedName name="Slicer_Age_Brackets">#N/A</definedName>
    <definedName name="Slicer_Education">#N/A</definedName>
    <definedName name="Slicer_Occupation">#N/A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I8" i="5"/>
  <c r="E8" i="5"/>
</calcChain>
</file>

<file path=xl/sharedStrings.xml><?xml version="1.0" encoding="utf-8"?>
<sst xmlns="http://schemas.openxmlformats.org/spreadsheetml/2006/main" count="16278" uniqueCount="57">
  <si>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</si>
  <si>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</si>
  <si>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</si>
  <si>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</si>
  <si>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</si>
  <si>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</si>
  <si>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</si>
  <si>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</si>
  <si>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</si>
  <si>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</si>
  <si>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</si>
  <si>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</si>
  <si>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</si>
  <si>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</si>
  <si>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</si>
  <si>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</si>
  <si>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</si>
  <si>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</si>
  <si>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</si>
  <si>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</si>
  <si>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</si>
  <si>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</si>
  <si>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</si>
  <si>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</si>
  <si>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</si>
  <si>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</si>
  <si>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</si>
  <si>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</si>
  <si>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</si>
  <si>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</si>
  <si>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</si>
  <si>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</si>
  <si>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</si>
  <si>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</si>
  <si>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</si>
  <si>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</si>
  <si>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</si>
  <si>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</si>
  <si>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</si>
  <si>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</si>
  <si>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</si>
  <si>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</si>
  <si>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</si>
  <si>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</si>
  <si>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Mid Life</t>
  </si>
  <si>
    <t>Old</t>
  </si>
  <si>
    <t>Older</t>
  </si>
  <si>
    <t>Very Young</t>
  </si>
  <si>
    <t>Young</t>
  </si>
  <si>
    <t>Count of Purchased Bike</t>
  </si>
  <si>
    <t>Sum of Cars</t>
  </si>
  <si>
    <t>Count of Occupation</t>
  </si>
  <si>
    <t>(All)</t>
  </si>
  <si>
    <t>WORKING CLASS DASHBOARD</t>
  </si>
  <si>
    <t>AVERAGE INCOME</t>
  </si>
  <si>
    <t>Average of Children</t>
  </si>
  <si>
    <t>Highest Educational Qualification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</si>
</sst>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5" formatCode="&quot;$&quot;#,##0"/>
    <numFmt numFmtId="166" formatCode="_-&quot;$&quot;* #,##0_-;\-&quot;$&quot;* #,##0_-;_-&quot;$&quot;*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
      <sz val="16"/>
      <color theme="1"/>
      <name val="Calibri"/>
      <family val="2"/>
      <scheme val="minor"/>
    </font>
    <font>
      <sz val="20"/>
      <color theme="1"/>
      <name val="Calibri"/>
      <family val="2"/>
      <scheme val="minor"/>
    </font>
    <font>
      <sz val="2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
      <patternFill patternType="solid">
        <fgColor theme="0" tint="-0.499984740745262"/>
        <bgColor indexed="64"/>
      </patternFill>
    </fill>
    <fill>
      <patternFill patternType="solid">
        <fgColor theme="5" tint="-0.499984740745262"/>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44" fontId="0" fillId="0" borderId="0" xfId="0" applyNumberFormat="1"/>
    <xf numFmtId="166" fontId="0" fillId="0" borderId="0" xfId="0" applyNumberFormat="1"/>
    <xf numFmtId="0" fontId="0" fillId="33" borderId="0" xfId="0" applyFill="1"/>
    <xf numFmtId="0" fontId="0" fillId="34" borderId="0" xfId="0" applyFill="1"/>
    <xf numFmtId="0" fontId="19" fillId="35" borderId="0" xfId="0" applyFont="1" applyFill="1" applyAlignment="1">
      <alignment horizontal="center"/>
    </xf>
    <xf numFmtId="0" fontId="0" fillId="35" borderId="0" xfId="0" applyFill="1" applyAlignment="1">
      <alignment horizontal="center"/>
    </xf>
    <xf numFmtId="0" fontId="0" fillId="36" borderId="0" xfId="0" applyFill="1"/>
    <xf numFmtId="0" fontId="20" fillId="36" borderId="0" xfId="0" applyFont="1" applyFill="1" applyAlignment="1">
      <alignment horizontal="center"/>
    </xf>
    <xf numFmtId="0" fontId="0" fillId="36" borderId="0" xfId="0" applyFill="1" applyAlignment="1">
      <alignment horizontal="center"/>
    </xf>
    <xf numFmtId="44" fontId="21" fillId="36" borderId="0" xfId="42" applyFont="1" applyFill="1" applyAlignment="1">
      <alignment horizontal="center"/>
    </xf>
    <xf numFmtId="2" fontId="21" fillId="36" borderId="0" xfId="0" applyNumberFormat="1" applyFont="1" applyFill="1" applyAlignment="1">
      <alignment horizontal="center"/>
    </xf>
    <xf numFmtId="0" fontId="22" fillId="36"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quot;$&quot;* #,##0_-;\-&quot;$&quot;* #,##0_-;_-&quot;$&quot;* &quot;-&quot;??_-;_-@_-"/>
    </dxf>
    <dxf>
      <numFmt numFmtId="0" formatCode="General"/>
    </dxf>
    <dxf>
      <numFmt numFmtId="0" formatCode="General"/>
    </dxf>
    <dxf>
      <numFmt numFmtId="0" formatCode="General"/>
    </dxf>
    <dxf>
      <numFmt numFmtId="0" formatCode="General"/>
    </dxf>
    <dxf>
      <numFmt numFmtId="165" formatCode="&quot;$&quot;#,##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1!PivotTable2</c:name>
    <c:fmtId val="0"/>
  </c:pivotSource>
  <c:chart>
    <c:autoTitleDeleted val="1"/>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sp3d/>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sp3d/>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dLbl>
          <c:idx val="0"/>
          <c:layout>
            <c:manualLayout>
              <c:x val="0"/>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790048118985126"/>
          <c:y val="0.21596784776902883"/>
          <c:w val="0.81432174103237098"/>
          <c:h val="0.58506087780694072"/>
        </c:manualLayout>
      </c:layout>
      <c:bar3DChart>
        <c:barDir val="col"/>
        <c:grouping val="clustered"/>
        <c:varyColors val="0"/>
        <c:ser>
          <c:idx val="0"/>
          <c:order val="0"/>
          <c:tx>
            <c:strRef>
              <c:f>'Pivot Table 1'!$B$5</c:f>
              <c:strCache>
                <c:ptCount val="1"/>
                <c:pt idx="0">
                  <c:v>Total</c:v>
                </c:pt>
              </c:strCache>
            </c:strRef>
          </c:tx>
          <c:spPr>
            <a:solidFill>
              <a:srgbClr val="FF0000"/>
            </a:solidFill>
            <a:ln>
              <a:noFill/>
            </a:ln>
            <a:effectLst/>
            <a:sp3d/>
          </c:spPr>
          <c:invertIfNegative val="0"/>
          <c:dPt>
            <c:idx val="0"/>
            <c:invertIfNegative val="0"/>
            <c:bubble3D val="0"/>
            <c:spPr>
              <a:solidFill>
                <a:schemeClr val="accent1">
                  <a:lumMod val="20000"/>
                  <a:lumOff val="80000"/>
                </a:schemeClr>
              </a:solidFill>
              <a:ln>
                <a:noFill/>
              </a:ln>
              <a:effectLst/>
              <a:sp3d/>
            </c:spPr>
            <c:extLst>
              <c:ext xmlns:c16="http://schemas.microsoft.com/office/drawing/2014/chart" uri="{C3380CC4-5D6E-409C-BE32-E72D297353CC}">
                <c16:uniqueId val="{00000004-7AF4-4357-B066-733103709C9F}"/>
              </c:ext>
            </c:extLst>
          </c:dPt>
          <c:dPt>
            <c:idx val="1"/>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2-7AF4-4357-B066-733103709C9F}"/>
              </c:ext>
            </c:extLst>
          </c:dPt>
          <c:dPt>
            <c:idx val="2"/>
            <c:invertIfNegative val="0"/>
            <c:bubble3D val="0"/>
            <c:spPr>
              <a:solidFill>
                <a:schemeClr val="accent1">
                  <a:lumMod val="60000"/>
                  <a:lumOff val="40000"/>
                </a:schemeClr>
              </a:solidFill>
              <a:ln>
                <a:noFill/>
              </a:ln>
              <a:effectLst/>
              <a:sp3d/>
            </c:spPr>
            <c:extLst>
              <c:ext xmlns:c16="http://schemas.microsoft.com/office/drawing/2014/chart" uri="{C3380CC4-5D6E-409C-BE32-E72D297353CC}">
                <c16:uniqueId val="{00000003-7AF4-4357-B066-733103709C9F}"/>
              </c:ext>
            </c:extLst>
          </c:dPt>
          <c:dLbls>
            <c:dLbl>
              <c:idx val="0"/>
              <c:layout>
                <c:manualLayout>
                  <c:x val="0"/>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F4-4357-B066-733103709C9F}"/>
                </c:ext>
              </c:extLst>
            </c:dLbl>
            <c:dLbl>
              <c:idx val="1"/>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F4-4357-B066-733103709C9F}"/>
                </c:ext>
              </c:extLst>
            </c:dLbl>
            <c:dLbl>
              <c:idx val="2"/>
              <c:layout>
                <c:manualLayout>
                  <c:x val="-8.3333333333333332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F4-4357-B066-733103709C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1'!$A$6:$A$9</c:f>
              <c:strCache>
                <c:ptCount val="3"/>
                <c:pt idx="0">
                  <c:v>Europe</c:v>
                </c:pt>
                <c:pt idx="1">
                  <c:v>North America</c:v>
                </c:pt>
                <c:pt idx="2">
                  <c:v>Pacific</c:v>
                </c:pt>
              </c:strCache>
            </c:strRef>
          </c:cat>
          <c:val>
            <c:numRef>
              <c:f>'Pivot Table 1'!$B$6:$B$9</c:f>
              <c:numCache>
                <c:formatCode>"$"#,##0</c:formatCode>
                <c:ptCount val="3"/>
                <c:pt idx="0">
                  <c:v>40900</c:v>
                </c:pt>
                <c:pt idx="1">
                  <c:v>62755.905511811026</c:v>
                </c:pt>
                <c:pt idx="2">
                  <c:v>63593.75</c:v>
                </c:pt>
              </c:numCache>
            </c:numRef>
          </c:val>
          <c:extLst>
            <c:ext xmlns:c16="http://schemas.microsoft.com/office/drawing/2014/chart" uri="{C3380CC4-5D6E-409C-BE32-E72D297353CC}">
              <c16:uniqueId val="{00000000-7AF4-4357-B066-733103709C9F}"/>
            </c:ext>
          </c:extLst>
        </c:ser>
        <c:dLbls>
          <c:showLegendKey val="0"/>
          <c:showVal val="1"/>
          <c:showCatName val="0"/>
          <c:showSerName val="0"/>
          <c:showPercent val="0"/>
          <c:showBubbleSize val="0"/>
        </c:dLbls>
        <c:gapWidth val="150"/>
        <c:shape val="box"/>
        <c:axId val="457100239"/>
        <c:axId val="1434977791"/>
        <c:axId val="0"/>
      </c:bar3DChart>
      <c:catAx>
        <c:axId val="4571002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77791"/>
        <c:crosses val="autoZero"/>
        <c:auto val="1"/>
        <c:lblAlgn val="ctr"/>
        <c:lblOffset val="100"/>
        <c:noMultiLvlLbl val="0"/>
      </c:catAx>
      <c:valAx>
        <c:axId val="143497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100239"/>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1!PivotTable1</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1'!$B$14</c:f>
              <c:strCache>
                <c:ptCount val="1"/>
                <c:pt idx="0">
                  <c:v>Count of Purchased Bike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1'!$A$15:$A$18</c:f>
              <c:strCache>
                <c:ptCount val="3"/>
                <c:pt idx="0">
                  <c:v>Europe</c:v>
                </c:pt>
                <c:pt idx="1">
                  <c:v>North America</c:v>
                </c:pt>
                <c:pt idx="2">
                  <c:v>Pacific</c:v>
                </c:pt>
              </c:strCache>
            </c:strRef>
          </c:cat>
          <c:val>
            <c:numRef>
              <c:f>'Pivot Table 1'!$B$15:$B$18</c:f>
              <c:numCache>
                <c:formatCode>General</c:formatCode>
                <c:ptCount val="3"/>
                <c:pt idx="0">
                  <c:v>300</c:v>
                </c:pt>
                <c:pt idx="1">
                  <c:v>508</c:v>
                </c:pt>
                <c:pt idx="2">
                  <c:v>192</c:v>
                </c:pt>
              </c:numCache>
            </c:numRef>
          </c:val>
          <c:smooth val="0"/>
          <c:extLst>
            <c:ext xmlns:c16="http://schemas.microsoft.com/office/drawing/2014/chart" uri="{C3380CC4-5D6E-409C-BE32-E72D297353CC}">
              <c16:uniqueId val="{00000000-E2C0-428A-876B-A8AEF68EE181}"/>
            </c:ext>
          </c:extLst>
        </c:ser>
        <c:ser>
          <c:idx val="1"/>
          <c:order val="1"/>
          <c:tx>
            <c:strRef>
              <c:f>'Pivot Table 1'!$C$14</c:f>
              <c:strCache>
                <c:ptCount val="1"/>
                <c:pt idx="0">
                  <c:v>Sum of Cars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1'!$A$15:$A$18</c:f>
              <c:strCache>
                <c:ptCount val="3"/>
                <c:pt idx="0">
                  <c:v>Europe</c:v>
                </c:pt>
                <c:pt idx="1">
                  <c:v>North America</c:v>
                </c:pt>
                <c:pt idx="2">
                  <c:v>Pacific</c:v>
                </c:pt>
              </c:strCache>
            </c:strRef>
          </c:cat>
          <c:val>
            <c:numRef>
              <c:f>'Pivot Table 1'!$C$15:$C$18</c:f>
              <c:numCache>
                <c:formatCode>General</c:formatCode>
                <c:ptCount val="3"/>
                <c:pt idx="0">
                  <c:v>316</c:v>
                </c:pt>
                <c:pt idx="1">
                  <c:v>768</c:v>
                </c:pt>
                <c:pt idx="2">
                  <c:v>358</c:v>
                </c:pt>
              </c:numCache>
            </c:numRef>
          </c:val>
          <c:smooth val="0"/>
          <c:extLst>
            <c:ext xmlns:c16="http://schemas.microsoft.com/office/drawing/2014/chart" uri="{C3380CC4-5D6E-409C-BE32-E72D297353CC}">
              <c16:uniqueId val="{00000001-E2C0-428A-876B-A8AEF68EE181}"/>
            </c:ext>
          </c:extLst>
        </c:ser>
        <c:dLbls>
          <c:dLblPos val="t"/>
          <c:showLegendKey val="0"/>
          <c:showVal val="1"/>
          <c:showCatName val="0"/>
          <c:showSerName val="0"/>
          <c:showPercent val="0"/>
          <c:showBubbleSize val="0"/>
        </c:dLbls>
        <c:marker val="1"/>
        <c:smooth val="0"/>
        <c:axId val="765116191"/>
        <c:axId val="1012726015"/>
      </c:lineChart>
      <c:catAx>
        <c:axId val="76511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26015"/>
        <c:crosses val="autoZero"/>
        <c:auto val="1"/>
        <c:lblAlgn val="ctr"/>
        <c:lblOffset val="100"/>
        <c:noMultiLvlLbl val="0"/>
      </c:catAx>
      <c:valAx>
        <c:axId val="101272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1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1!PivotTable3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bar"/>
        <c:grouping val="clustered"/>
        <c:varyColors val="1"/>
        <c:ser>
          <c:idx val="0"/>
          <c:order val="0"/>
          <c:tx>
            <c:strRef>
              <c:f>'Pivot Table 1'!$B$28</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30-47E3-AA61-B45759D2FD7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B30-47E3-AA61-B45759D2FD7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B30-47E3-AA61-B45759D2FD7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B30-47E3-AA61-B45759D2FD7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B30-47E3-AA61-B45759D2FD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1'!$A$29:$A$34</c:f>
              <c:strCache>
                <c:ptCount val="5"/>
                <c:pt idx="0">
                  <c:v>Bachelors</c:v>
                </c:pt>
                <c:pt idx="1">
                  <c:v>Graduate Degree</c:v>
                </c:pt>
                <c:pt idx="2">
                  <c:v>High School</c:v>
                </c:pt>
                <c:pt idx="3">
                  <c:v>Partial College</c:v>
                </c:pt>
                <c:pt idx="4">
                  <c:v>Partial High School</c:v>
                </c:pt>
              </c:strCache>
            </c:strRef>
          </c:cat>
          <c:val>
            <c:numRef>
              <c:f>'Pivot Table 1'!$B$29:$B$34</c:f>
              <c:numCache>
                <c:formatCode>_-"$"* #,##0_-;\-"$"* #,##0_-;_-"$"* "-"??_-;_-@_-</c:formatCode>
                <c:ptCount val="5"/>
                <c:pt idx="0">
                  <c:v>63006.535947712415</c:v>
                </c:pt>
                <c:pt idx="1">
                  <c:v>66091.954022988502</c:v>
                </c:pt>
                <c:pt idx="2">
                  <c:v>47262.569832402238</c:v>
                </c:pt>
                <c:pt idx="3">
                  <c:v>54716.981132075474</c:v>
                </c:pt>
                <c:pt idx="4">
                  <c:v>34473.684210526313</c:v>
                </c:pt>
              </c:numCache>
            </c:numRef>
          </c:val>
          <c:extLst>
            <c:ext xmlns:c16="http://schemas.microsoft.com/office/drawing/2014/chart" uri="{C3380CC4-5D6E-409C-BE32-E72D297353CC}">
              <c16:uniqueId val="{0000000D-BF61-4B58-BE57-F7254C77356F}"/>
            </c:ext>
          </c:extLst>
        </c:ser>
        <c:dLbls>
          <c:dLblPos val="outEnd"/>
          <c:showLegendKey val="0"/>
          <c:showVal val="1"/>
          <c:showCatName val="0"/>
          <c:showSerName val="0"/>
          <c:showPercent val="0"/>
          <c:showBubbleSize val="0"/>
        </c:dLbls>
        <c:gapWidth val="182"/>
        <c:axId val="1183593711"/>
        <c:axId val="1012727455"/>
      </c:barChart>
      <c:catAx>
        <c:axId val="118359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27455"/>
        <c:crosses val="autoZero"/>
        <c:auto val="1"/>
        <c:lblAlgn val="ctr"/>
        <c:lblOffset val="100"/>
        <c:noMultiLvlLbl val="0"/>
      </c:catAx>
      <c:valAx>
        <c:axId val="101272745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9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2!PivotTable4</c:name>
    <c:fmtId val="6"/>
  </c:pivotSource>
  <c:chart>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2668250197941409E-2"/>
              <c:y val="0.30669259480435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4885193982581155"/>
              <c:y val="-0.161143566761611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451306413301652"/>
              <c:y val="-0.239116260355940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451306413301663"/>
              <c:y val="0.155945387188656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2'!$D$3</c:f>
              <c:strCache>
                <c:ptCount val="1"/>
                <c:pt idx="0">
                  <c:v>Average of Income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7A0-468E-AF90-C44BDC06DD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7A0-468E-AF90-C44BDC06DDED}"/>
              </c:ext>
            </c:extLst>
          </c:dPt>
          <c:dLbls>
            <c:dLbl>
              <c:idx val="0"/>
              <c:layout>
                <c:manualLayout>
                  <c:x val="0.10451306413301652"/>
                  <c:y val="-0.2391162603559402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7A0-468E-AF90-C44BDC06DDED}"/>
                </c:ext>
              </c:extLst>
            </c:dLbl>
            <c:dLbl>
              <c:idx val="1"/>
              <c:layout>
                <c:manualLayout>
                  <c:x val="-0.14885193982581155"/>
                  <c:y val="-0.1611435667616119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7A0-468E-AF90-C44BDC06DDE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2'!$C$4:$C$6</c:f>
              <c:strCache>
                <c:ptCount val="2"/>
                <c:pt idx="0">
                  <c:v>Female</c:v>
                </c:pt>
                <c:pt idx="1">
                  <c:v>Male</c:v>
                </c:pt>
              </c:strCache>
            </c:strRef>
          </c:cat>
          <c:val>
            <c:numRef>
              <c:f>'Pivot Table 2'!$D$4:$D$6</c:f>
              <c:numCache>
                <c:formatCode>_("$"* #,##0.00_);_("$"* \(#,##0.00\);_("$"* "-"??_);_(@_)</c:formatCode>
                <c:ptCount val="2"/>
                <c:pt idx="0">
                  <c:v>54580.777096114522</c:v>
                </c:pt>
                <c:pt idx="1">
                  <c:v>58062.62230919765</c:v>
                </c:pt>
              </c:numCache>
            </c:numRef>
          </c:val>
          <c:extLst>
            <c:ext xmlns:c16="http://schemas.microsoft.com/office/drawing/2014/chart" uri="{C3380CC4-5D6E-409C-BE32-E72D297353CC}">
              <c16:uniqueId val="{00000000-27A0-468E-AF90-C44BDC06DDED}"/>
            </c:ext>
          </c:extLst>
        </c:ser>
        <c:ser>
          <c:idx val="1"/>
          <c:order val="1"/>
          <c:tx>
            <c:strRef>
              <c:f>'Pivot Table 2'!$E$3</c:f>
              <c:strCache>
                <c:ptCount val="1"/>
                <c:pt idx="0">
                  <c:v>Count of Occupation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27A0-468E-AF90-C44BDC06DD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A0-468E-AF90-C44BDC06DDED}"/>
              </c:ext>
            </c:extLst>
          </c:dPt>
          <c:dLbls>
            <c:dLbl>
              <c:idx val="0"/>
              <c:layout>
                <c:manualLayout>
                  <c:x val="0.10451306413301663"/>
                  <c:y val="0.1559453871886565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A0-468E-AF90-C44BDC06DDED}"/>
                </c:ext>
              </c:extLst>
            </c:dLbl>
            <c:dLbl>
              <c:idx val="1"/>
              <c:layout>
                <c:manualLayout>
                  <c:x val="-1.2668250197941409E-2"/>
                  <c:y val="0.3066925948043581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A0-468E-AF90-C44BDC06DDE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2'!$C$4:$C$6</c:f>
              <c:strCache>
                <c:ptCount val="2"/>
                <c:pt idx="0">
                  <c:v>Female</c:v>
                </c:pt>
                <c:pt idx="1">
                  <c:v>Male</c:v>
                </c:pt>
              </c:strCache>
            </c:strRef>
          </c:cat>
          <c:val>
            <c:numRef>
              <c:f>'Pivot Table 2'!$E$4:$E$6</c:f>
              <c:numCache>
                <c:formatCode>General</c:formatCode>
                <c:ptCount val="2"/>
                <c:pt idx="0">
                  <c:v>489</c:v>
                </c:pt>
                <c:pt idx="1">
                  <c:v>511</c:v>
                </c:pt>
              </c:numCache>
            </c:numRef>
          </c:val>
          <c:extLst>
            <c:ext xmlns:c16="http://schemas.microsoft.com/office/drawing/2014/chart" uri="{C3380CC4-5D6E-409C-BE32-E72D297353CC}">
              <c16:uniqueId val="{00000001-27A0-468E-AF90-C44BDC06DDE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2!PivotTable5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 Table 2'!$D$9</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0592-40FF-B76F-BF62A9734885}"/>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0592-40FF-B76F-BF62A9734885}"/>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0592-40FF-B76F-BF62A9734885}"/>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0592-40FF-B76F-BF62A9734885}"/>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0592-40FF-B76F-BF62A97348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2'!$C$10:$C$15</c:f>
              <c:strCache>
                <c:ptCount val="5"/>
                <c:pt idx="0">
                  <c:v>Mid Life</c:v>
                </c:pt>
                <c:pt idx="1">
                  <c:v>Old</c:v>
                </c:pt>
                <c:pt idx="2">
                  <c:v>Older</c:v>
                </c:pt>
                <c:pt idx="3">
                  <c:v>Very Young</c:v>
                </c:pt>
                <c:pt idx="4">
                  <c:v>Young</c:v>
                </c:pt>
              </c:strCache>
            </c:strRef>
          </c:cat>
          <c:val>
            <c:numRef>
              <c:f>'Pivot Table 2'!$D$10:$D$15</c:f>
              <c:numCache>
                <c:formatCode>_("$"* #,##0.00_);_("$"* \(#,##0.00\);_("$"* "-"??_);_(@_)</c:formatCode>
                <c:ptCount val="5"/>
                <c:pt idx="0">
                  <c:v>62105.26315789474</c:v>
                </c:pt>
                <c:pt idx="1">
                  <c:v>60578.512396694212</c:v>
                </c:pt>
                <c:pt idx="2">
                  <c:v>56000</c:v>
                </c:pt>
                <c:pt idx="3">
                  <c:v>43359.375</c:v>
                </c:pt>
                <c:pt idx="4">
                  <c:v>60705.52147239264</c:v>
                </c:pt>
              </c:numCache>
            </c:numRef>
          </c:val>
          <c:extLst>
            <c:ext xmlns:c16="http://schemas.microsoft.com/office/drawing/2014/chart" uri="{C3380CC4-5D6E-409C-BE32-E72D297353CC}">
              <c16:uniqueId val="{00000000-9DFB-4D3F-8E6A-6E98191259A6}"/>
            </c:ext>
          </c:extLst>
        </c:ser>
        <c:dLbls>
          <c:showLegendKey val="0"/>
          <c:showVal val="0"/>
          <c:showCatName val="0"/>
          <c:showSerName val="0"/>
          <c:showPercent val="0"/>
          <c:showBubbleSize val="0"/>
        </c:dLbls>
        <c:gapWidth val="150"/>
        <c:shape val="box"/>
        <c:axId val="1183604847"/>
        <c:axId val="1012751455"/>
        <c:axId val="0"/>
      </c:bar3DChart>
      <c:catAx>
        <c:axId val="118360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51455"/>
        <c:crosses val="autoZero"/>
        <c:auto val="1"/>
        <c:lblAlgn val="ctr"/>
        <c:lblOffset val="100"/>
        <c:noMultiLvlLbl val="0"/>
      </c:catAx>
      <c:valAx>
        <c:axId val="10127514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0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1!PivotTable2</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333333333333332E-3"/>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7.8703703703703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7.8703703703703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333333333333332E-3"/>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dLbl>
          <c:idx val="0"/>
          <c:layout>
            <c:manualLayout>
              <c:x val="0"/>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790048118985126"/>
          <c:y val="0.21596784776902883"/>
          <c:w val="0.81432174103237098"/>
          <c:h val="0.58506087780694072"/>
        </c:manualLayout>
      </c:layout>
      <c:bar3DChart>
        <c:barDir val="col"/>
        <c:grouping val="clustered"/>
        <c:varyColors val="1"/>
        <c:ser>
          <c:idx val="0"/>
          <c:order val="0"/>
          <c:tx>
            <c:strRef>
              <c:f>'Pivot Table 1'!$B$5</c:f>
              <c:strCache>
                <c:ptCount val="1"/>
                <c:pt idx="0">
                  <c:v>Total</c:v>
                </c:pt>
              </c:strCache>
            </c:strRef>
          </c:tx>
          <c:invertIfNegative val="0"/>
          <c:dPt>
            <c:idx val="0"/>
            <c:invertIfNegative val="0"/>
            <c:bubble3D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extLst>
              <c:ext xmlns:c16="http://schemas.microsoft.com/office/drawing/2014/chart" uri="{C3380CC4-5D6E-409C-BE32-E72D297353CC}">
                <c16:uniqueId val="{00000001-ADE6-4211-B86D-AB4E442C0AFC}"/>
              </c:ext>
            </c:extLst>
          </c:dPt>
          <c:dPt>
            <c:idx val="1"/>
            <c:invertIfNegative val="0"/>
            <c:bubble3D val="0"/>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extLst>
              <c:ext xmlns:c16="http://schemas.microsoft.com/office/drawing/2014/chart" uri="{C3380CC4-5D6E-409C-BE32-E72D297353CC}">
                <c16:uniqueId val="{00000003-ADE6-4211-B86D-AB4E442C0AFC}"/>
              </c:ext>
            </c:extLst>
          </c:dPt>
          <c:dPt>
            <c:idx val="2"/>
            <c:invertIfNegative val="0"/>
            <c:bubble3D val="0"/>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extLst>
              <c:ext xmlns:c16="http://schemas.microsoft.com/office/drawing/2014/chart" uri="{C3380CC4-5D6E-409C-BE32-E72D297353CC}">
                <c16:uniqueId val="{00000005-ADE6-4211-B86D-AB4E442C0AFC}"/>
              </c:ext>
            </c:extLst>
          </c:dPt>
          <c:dLbls>
            <c:dLbl>
              <c:idx val="0"/>
              <c:layout>
                <c:manualLayout>
                  <c:x val="0"/>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6-4211-B86D-AB4E442C0AFC}"/>
                </c:ext>
              </c:extLst>
            </c:dLbl>
            <c:dLbl>
              <c:idx val="1"/>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E6-4211-B86D-AB4E442C0AFC}"/>
                </c:ext>
              </c:extLst>
            </c:dLbl>
            <c:dLbl>
              <c:idx val="2"/>
              <c:layout>
                <c:manualLayout>
                  <c:x val="-8.3333333333333332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E6-4211-B86D-AB4E442C0A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1'!$A$6:$A$9</c:f>
              <c:strCache>
                <c:ptCount val="3"/>
                <c:pt idx="0">
                  <c:v>Europe</c:v>
                </c:pt>
                <c:pt idx="1">
                  <c:v>North America</c:v>
                </c:pt>
                <c:pt idx="2">
                  <c:v>Pacific</c:v>
                </c:pt>
              </c:strCache>
            </c:strRef>
          </c:cat>
          <c:val>
            <c:numRef>
              <c:f>'Pivot Table 1'!$B$6:$B$9</c:f>
              <c:numCache>
                <c:formatCode>"$"#,##0</c:formatCode>
                <c:ptCount val="3"/>
                <c:pt idx="0">
                  <c:v>40900</c:v>
                </c:pt>
                <c:pt idx="1">
                  <c:v>62755.905511811026</c:v>
                </c:pt>
                <c:pt idx="2">
                  <c:v>63593.75</c:v>
                </c:pt>
              </c:numCache>
            </c:numRef>
          </c:val>
          <c:extLst>
            <c:ext xmlns:c16="http://schemas.microsoft.com/office/drawing/2014/chart" uri="{C3380CC4-5D6E-409C-BE32-E72D297353CC}">
              <c16:uniqueId val="{00000006-ADE6-4211-B86D-AB4E442C0AFC}"/>
            </c:ext>
          </c:extLst>
        </c:ser>
        <c:dLbls>
          <c:showLegendKey val="0"/>
          <c:showVal val="1"/>
          <c:showCatName val="0"/>
          <c:showSerName val="0"/>
          <c:showPercent val="0"/>
          <c:showBubbleSize val="0"/>
        </c:dLbls>
        <c:gapWidth val="150"/>
        <c:shape val="box"/>
        <c:axId val="457100239"/>
        <c:axId val="1434977791"/>
        <c:axId val="0"/>
      </c:bar3DChart>
      <c:catAx>
        <c:axId val="45710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34977791"/>
        <c:crosses val="autoZero"/>
        <c:auto val="1"/>
        <c:lblAlgn val="ctr"/>
        <c:lblOffset val="100"/>
        <c:noMultiLvlLbl val="0"/>
      </c:catAx>
      <c:valAx>
        <c:axId val="1434977791"/>
        <c:scaling>
          <c:orientation val="minMax"/>
        </c:scaling>
        <c:delete val="0"/>
        <c:axPos val="l"/>
        <c:majorGridlines>
          <c:spPr>
            <a:ln w="9525" cap="flat" cmpd="sng" algn="ctr">
              <a:solidFill>
                <a:schemeClr val="tx1">
                  <a:lumMod val="5000"/>
                  <a:lumOff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710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1!PivotTable1</c:name>
    <c:fmtId val="8"/>
  </c:pivotSource>
  <c:chart>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1'!$B$14</c:f>
              <c:strCache>
                <c:ptCount val="1"/>
                <c:pt idx="0">
                  <c:v>Count of Purchased Bike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1'!$A$15:$A$18</c:f>
              <c:strCache>
                <c:ptCount val="3"/>
                <c:pt idx="0">
                  <c:v>Europe</c:v>
                </c:pt>
                <c:pt idx="1">
                  <c:v>North America</c:v>
                </c:pt>
                <c:pt idx="2">
                  <c:v>Pacific</c:v>
                </c:pt>
              </c:strCache>
            </c:strRef>
          </c:cat>
          <c:val>
            <c:numRef>
              <c:f>'Pivot Table 1'!$B$15:$B$18</c:f>
              <c:numCache>
                <c:formatCode>General</c:formatCode>
                <c:ptCount val="3"/>
                <c:pt idx="0">
                  <c:v>300</c:v>
                </c:pt>
                <c:pt idx="1">
                  <c:v>508</c:v>
                </c:pt>
                <c:pt idx="2">
                  <c:v>192</c:v>
                </c:pt>
              </c:numCache>
            </c:numRef>
          </c:val>
          <c:smooth val="0"/>
          <c:extLst>
            <c:ext xmlns:c16="http://schemas.microsoft.com/office/drawing/2014/chart" uri="{C3380CC4-5D6E-409C-BE32-E72D297353CC}">
              <c16:uniqueId val="{00000000-B75C-4A71-BBAB-D271E5075DEF}"/>
            </c:ext>
          </c:extLst>
        </c:ser>
        <c:ser>
          <c:idx val="1"/>
          <c:order val="1"/>
          <c:tx>
            <c:strRef>
              <c:f>'Pivot Table 1'!$C$14</c:f>
              <c:strCache>
                <c:ptCount val="1"/>
                <c:pt idx="0">
                  <c:v>Sum of Cars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1'!$A$15:$A$18</c:f>
              <c:strCache>
                <c:ptCount val="3"/>
                <c:pt idx="0">
                  <c:v>Europe</c:v>
                </c:pt>
                <c:pt idx="1">
                  <c:v>North America</c:v>
                </c:pt>
                <c:pt idx="2">
                  <c:v>Pacific</c:v>
                </c:pt>
              </c:strCache>
            </c:strRef>
          </c:cat>
          <c:val>
            <c:numRef>
              <c:f>'Pivot Table 1'!$C$15:$C$18</c:f>
              <c:numCache>
                <c:formatCode>General</c:formatCode>
                <c:ptCount val="3"/>
                <c:pt idx="0">
                  <c:v>316</c:v>
                </c:pt>
                <c:pt idx="1">
                  <c:v>768</c:v>
                </c:pt>
                <c:pt idx="2">
                  <c:v>358</c:v>
                </c:pt>
              </c:numCache>
            </c:numRef>
          </c:val>
          <c:smooth val="0"/>
          <c:extLst>
            <c:ext xmlns:c16="http://schemas.microsoft.com/office/drawing/2014/chart" uri="{C3380CC4-5D6E-409C-BE32-E72D297353CC}">
              <c16:uniqueId val="{00000001-B75C-4A71-BBAB-D271E5075DEF}"/>
            </c:ext>
          </c:extLst>
        </c:ser>
        <c:dLbls>
          <c:dLblPos val="t"/>
          <c:showLegendKey val="0"/>
          <c:showVal val="1"/>
          <c:showCatName val="0"/>
          <c:showSerName val="0"/>
          <c:showPercent val="0"/>
          <c:showBubbleSize val="0"/>
        </c:dLbls>
        <c:marker val="1"/>
        <c:smooth val="0"/>
        <c:axId val="765116191"/>
        <c:axId val="1012726015"/>
      </c:lineChart>
      <c:catAx>
        <c:axId val="7651161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726015"/>
        <c:crosses val="autoZero"/>
        <c:auto val="1"/>
        <c:lblAlgn val="ctr"/>
        <c:lblOffset val="100"/>
        <c:noMultiLvlLbl val="0"/>
      </c:catAx>
      <c:valAx>
        <c:axId val="1012726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511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1!PivotTable3</c:name>
    <c:fmtId val="1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
        <c:idx val="17"/>
        <c:spPr>
          <a:noFill/>
          <a:ln w="9525" cap="flat" cmpd="sng" algn="ctr">
            <a:solidFill>
              <a:schemeClr val="accent2"/>
            </a:solidFill>
            <a:miter lim="800000"/>
          </a:ln>
          <a:effectLst>
            <a:glow rad="63500">
              <a:schemeClr val="accent2">
                <a:satMod val="175000"/>
                <a:alpha val="25000"/>
              </a:schemeClr>
            </a:glow>
          </a:effectLst>
        </c:spPr>
      </c:pivotFmt>
      <c:pivotFmt>
        <c:idx val="18"/>
        <c:spPr>
          <a:noFill/>
          <a:ln w="9525" cap="flat" cmpd="sng" algn="ctr">
            <a:solidFill>
              <a:schemeClr val="accent3"/>
            </a:solidFill>
            <a:miter lim="800000"/>
          </a:ln>
          <a:effectLst>
            <a:glow rad="63500">
              <a:schemeClr val="accent3">
                <a:satMod val="175000"/>
                <a:alpha val="25000"/>
              </a:schemeClr>
            </a:glow>
          </a:effectLst>
        </c:spPr>
      </c:pivotFmt>
      <c:pivotFmt>
        <c:idx val="19"/>
        <c:spPr>
          <a:noFill/>
          <a:ln w="9525" cap="flat" cmpd="sng" algn="ctr">
            <a:solidFill>
              <a:schemeClr val="accent4"/>
            </a:solidFill>
            <a:miter lim="800000"/>
          </a:ln>
          <a:effectLst>
            <a:glow rad="63500">
              <a:schemeClr val="accent4">
                <a:satMod val="175000"/>
                <a:alpha val="25000"/>
              </a:schemeClr>
            </a:glow>
          </a:effectLst>
        </c:spPr>
      </c:pivotFmt>
      <c:pivotFmt>
        <c:idx val="20"/>
        <c:spPr>
          <a:noFill/>
          <a:ln w="9525" cap="flat" cmpd="sng" algn="ctr">
            <a:solidFill>
              <a:schemeClr val="accent5"/>
            </a:solidFill>
            <a:miter lim="800000"/>
          </a:ln>
          <a:effectLst>
            <a:glow rad="63500">
              <a:schemeClr val="accent5">
                <a:satMod val="175000"/>
                <a:alpha val="25000"/>
              </a:schemeClr>
            </a:glow>
          </a:effectLst>
        </c:spPr>
      </c:pivotFmt>
    </c:pivotFmts>
    <c:plotArea>
      <c:layout/>
      <c:barChart>
        <c:barDir val="bar"/>
        <c:grouping val="clustered"/>
        <c:varyColors val="1"/>
        <c:ser>
          <c:idx val="0"/>
          <c:order val="0"/>
          <c:tx>
            <c:strRef>
              <c:f>'Pivot Table 1'!$B$28</c:f>
              <c:strCache>
                <c:ptCount val="1"/>
                <c:pt idx="0">
                  <c:v>Total</c:v>
                </c:pt>
              </c:strCache>
            </c:strRef>
          </c:tx>
          <c:invertIfNegative val="0"/>
          <c:dPt>
            <c:idx val="0"/>
            <c:invertIfNegative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F6E3-4DE1-901B-A9637063D084}"/>
              </c:ext>
            </c:extLst>
          </c:dPt>
          <c:dPt>
            <c:idx val="1"/>
            <c:invertIfNegative val="0"/>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F6E3-4DE1-901B-A9637063D084}"/>
              </c:ext>
            </c:extLst>
          </c:dPt>
          <c:dPt>
            <c:idx val="2"/>
            <c:invertIfNegative val="0"/>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F6E3-4DE1-901B-A9637063D084}"/>
              </c:ext>
            </c:extLst>
          </c:dPt>
          <c:dPt>
            <c:idx val="3"/>
            <c:invertIfNegative val="0"/>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F6E3-4DE1-901B-A9637063D084}"/>
              </c:ext>
            </c:extLst>
          </c:dPt>
          <c:dPt>
            <c:idx val="4"/>
            <c:invertIfNegative val="0"/>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F6E3-4DE1-901B-A9637063D0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1'!$A$29:$A$34</c:f>
              <c:strCache>
                <c:ptCount val="5"/>
                <c:pt idx="0">
                  <c:v>Bachelors</c:v>
                </c:pt>
                <c:pt idx="1">
                  <c:v>Graduate Degree</c:v>
                </c:pt>
                <c:pt idx="2">
                  <c:v>High School</c:v>
                </c:pt>
                <c:pt idx="3">
                  <c:v>Partial College</c:v>
                </c:pt>
                <c:pt idx="4">
                  <c:v>Partial High School</c:v>
                </c:pt>
              </c:strCache>
            </c:strRef>
          </c:cat>
          <c:val>
            <c:numRef>
              <c:f>'Pivot Table 1'!$B$29:$B$34</c:f>
              <c:numCache>
                <c:formatCode>_-"$"* #,##0_-;\-"$"* #,##0_-;_-"$"* "-"??_-;_-@_-</c:formatCode>
                <c:ptCount val="5"/>
                <c:pt idx="0">
                  <c:v>63006.535947712415</c:v>
                </c:pt>
                <c:pt idx="1">
                  <c:v>66091.954022988502</c:v>
                </c:pt>
                <c:pt idx="2">
                  <c:v>47262.569832402238</c:v>
                </c:pt>
                <c:pt idx="3">
                  <c:v>54716.981132075474</c:v>
                </c:pt>
                <c:pt idx="4">
                  <c:v>34473.684210526313</c:v>
                </c:pt>
              </c:numCache>
            </c:numRef>
          </c:val>
          <c:extLst>
            <c:ext xmlns:c16="http://schemas.microsoft.com/office/drawing/2014/chart" uri="{C3380CC4-5D6E-409C-BE32-E72D297353CC}">
              <c16:uniqueId val="{0000000D-9F7B-4118-A699-5035171872F3}"/>
            </c:ext>
          </c:extLst>
        </c:ser>
        <c:dLbls>
          <c:dLblPos val="outEnd"/>
          <c:showLegendKey val="0"/>
          <c:showVal val="1"/>
          <c:showCatName val="0"/>
          <c:showSerName val="0"/>
          <c:showPercent val="0"/>
          <c:showBubbleSize val="0"/>
        </c:dLbls>
        <c:gapWidth val="182"/>
        <c:overlap val="-50"/>
        <c:axId val="1183593711"/>
        <c:axId val="1012727455"/>
      </c:barChart>
      <c:catAx>
        <c:axId val="11835937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727455"/>
        <c:crosses val="autoZero"/>
        <c:auto val="1"/>
        <c:lblAlgn val="ctr"/>
        <c:lblOffset val="100"/>
        <c:noMultiLvlLbl val="0"/>
      </c:catAx>
      <c:valAx>
        <c:axId val="101272745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359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2!PivotTable4</c:name>
    <c:fmtId val="10"/>
  </c:pivotSource>
  <c:chart>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1.2668250197941409E-2"/>
              <c:y val="0.30669259480435812"/>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14885193982581155"/>
              <c:y val="-0.16114356676161193"/>
            </c:manualLayout>
          </c:layout>
          <c:showLegendKey val="0"/>
          <c:showVal val="1"/>
          <c:showCatName val="1"/>
          <c:showSerName val="0"/>
          <c:showPercent val="1"/>
          <c:showBubbleSize val="0"/>
          <c:extLst>
            <c:ext xmlns:c15="http://schemas.microsoft.com/office/drawing/2012/chart" uri="{CE6537A1-D6FC-4f65-9D91-7224C49458BB}"/>
          </c:extLst>
        </c:dLbl>
      </c:pivotFmt>
      <c:pivotFmt>
        <c:idx val="4"/>
        <c:dLbl>
          <c:idx val="0"/>
          <c:layout>
            <c:manualLayout>
              <c:x val="0.10451306413301652"/>
              <c:y val="-0.23911626035594027"/>
            </c:manualLayout>
          </c:layout>
          <c:showLegendKey val="0"/>
          <c:showVal val="1"/>
          <c:showCatName val="1"/>
          <c:showSerName val="0"/>
          <c:showPercent val="1"/>
          <c:showBubbleSize val="0"/>
          <c:extLst>
            <c:ext xmlns:c15="http://schemas.microsoft.com/office/drawing/2012/chart" uri="{CE6537A1-D6FC-4f65-9D91-7224C49458BB}"/>
          </c:extLst>
        </c:dLbl>
      </c:pivotFmt>
      <c:pivotFmt>
        <c:idx val="5"/>
        <c:dLbl>
          <c:idx val="0"/>
          <c:layout>
            <c:manualLayout>
              <c:x val="0.10451306413301663"/>
              <c:y val="0.15594538718865658"/>
            </c:manualLayout>
          </c:layout>
          <c:showLegendKey val="0"/>
          <c:showVal val="1"/>
          <c:showCatName val="1"/>
          <c:showSerName val="0"/>
          <c:showPercent val="0"/>
          <c:showBubbleSize val="0"/>
          <c:extLst>
            <c:ext xmlns:c15="http://schemas.microsoft.com/office/drawing/2012/chart" uri="{CE6537A1-D6FC-4f65-9D91-7224C49458BB}"/>
          </c:extLst>
        </c:dLbl>
      </c:pivotFmt>
      <c:pivotFmt>
        <c:idx val="6"/>
        <c:dLbl>
          <c:idx val="0"/>
          <c:showLegendKey val="0"/>
          <c:showVal val="1"/>
          <c:showCatName val="1"/>
          <c:showSerName val="0"/>
          <c:showPercent val="1"/>
          <c:showBubbleSize val="0"/>
          <c:extLst>
            <c:ext xmlns:c15="http://schemas.microsoft.com/office/drawing/2012/chart" uri="{CE6537A1-D6FC-4f65-9D91-7224C49458BB}"/>
          </c:extLst>
        </c:dLbl>
      </c:pivotFmt>
      <c:pivotFmt>
        <c:idx val="7"/>
        <c:dLbl>
          <c:idx val="0"/>
          <c:layout>
            <c:manualLayout>
              <c:x val="0.10451306413301652"/>
              <c:y val="-0.23911626035594027"/>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85193982581155"/>
              <c:y val="-0.16114356676161193"/>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0.10451306413301663"/>
              <c:y val="0.15594538718865658"/>
            </c:manualLayout>
          </c:layou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1.2668250197941409E-2"/>
              <c:y val="0.30669259480435812"/>
            </c:manualLayout>
          </c:layout>
          <c:showLegendKey val="0"/>
          <c:showVal val="1"/>
          <c:showCatName val="1"/>
          <c:showSerName val="0"/>
          <c:showPercent val="0"/>
          <c:showBubbleSize val="0"/>
          <c:extLst>
            <c:ext xmlns:c15="http://schemas.microsoft.com/office/drawing/2012/chart" uri="{CE6537A1-D6FC-4f65-9D91-7224C49458BB}"/>
          </c:extLst>
        </c:dLbl>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451306413301652"/>
              <c:y val="-0.23911626035594027"/>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00000">
                <a:schemeClr val="accent2">
                  <a:lumMod val="60000"/>
                  <a:lumOff val="40000"/>
                </a:schemeClr>
              </a:gs>
              <a:gs pos="0">
                <a:schemeClr val="accent2"/>
              </a:gs>
            </a:gsLst>
            <a:lin ang="5400000" scaled="0"/>
          </a:gradFill>
          <a:ln w="19050">
            <a:solidFill>
              <a:schemeClr val="lt1"/>
            </a:solidFill>
          </a:ln>
          <a:effectLst/>
        </c:spPr>
        <c:dLbl>
          <c:idx val="0"/>
          <c:layout>
            <c:manualLayout>
              <c:x val="-0.14885193982581155"/>
              <c:y val="-0.1611435667616119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451306413301663"/>
              <c:y val="0.15594538718865658"/>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a:gsLst>
              <a:gs pos="100000">
                <a:schemeClr val="accent2">
                  <a:lumMod val="60000"/>
                  <a:lumOff val="40000"/>
                </a:schemeClr>
              </a:gs>
              <a:gs pos="0">
                <a:schemeClr val="accent2"/>
              </a:gs>
            </a:gsLst>
            <a:lin ang="5400000" scaled="0"/>
          </a:gradFill>
          <a:ln w="19050">
            <a:solidFill>
              <a:schemeClr val="lt1"/>
            </a:solidFill>
          </a:ln>
          <a:effectLst/>
        </c:spPr>
        <c:dLbl>
          <c:idx val="0"/>
          <c:layout>
            <c:manualLayout>
              <c:x val="-1.2668250197941409E-2"/>
              <c:y val="0.3066925948043581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2'!$D$3</c:f>
              <c:strCache>
                <c:ptCount val="1"/>
                <c:pt idx="0">
                  <c:v>Average of Income</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55B-45B5-BBE8-7372F9DF4AF7}"/>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D55B-45B5-BBE8-7372F9DF4AF7}"/>
              </c:ext>
            </c:extLst>
          </c:dPt>
          <c:dLbls>
            <c:dLbl>
              <c:idx val="0"/>
              <c:layout>
                <c:manualLayout>
                  <c:x val="0.10451306413301652"/>
                  <c:y val="-0.2391162603559402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5B-45B5-BBE8-7372F9DF4AF7}"/>
                </c:ext>
              </c:extLst>
            </c:dLbl>
            <c:dLbl>
              <c:idx val="1"/>
              <c:layout>
                <c:manualLayout>
                  <c:x val="-0.14885193982581155"/>
                  <c:y val="-0.1611435667616119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5B-45B5-BBE8-7372F9DF4AF7}"/>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2'!$C$4:$C$6</c:f>
              <c:strCache>
                <c:ptCount val="2"/>
                <c:pt idx="0">
                  <c:v>Female</c:v>
                </c:pt>
                <c:pt idx="1">
                  <c:v>Male</c:v>
                </c:pt>
              </c:strCache>
            </c:strRef>
          </c:cat>
          <c:val>
            <c:numRef>
              <c:f>'Pivot Table 2'!$D$4:$D$6</c:f>
              <c:numCache>
                <c:formatCode>_("$"* #,##0.00_);_("$"* \(#,##0.00\);_("$"* "-"??_);_(@_)</c:formatCode>
                <c:ptCount val="2"/>
                <c:pt idx="0">
                  <c:v>54580.777096114522</c:v>
                </c:pt>
                <c:pt idx="1">
                  <c:v>58062.62230919765</c:v>
                </c:pt>
              </c:numCache>
            </c:numRef>
          </c:val>
          <c:extLst>
            <c:ext xmlns:c16="http://schemas.microsoft.com/office/drawing/2014/chart" uri="{C3380CC4-5D6E-409C-BE32-E72D297353CC}">
              <c16:uniqueId val="{00000004-D55B-45B5-BBE8-7372F9DF4AF7}"/>
            </c:ext>
          </c:extLst>
        </c:ser>
        <c:ser>
          <c:idx val="1"/>
          <c:order val="1"/>
          <c:tx>
            <c:strRef>
              <c:f>'Pivot Table 2'!$E$3</c:f>
              <c:strCache>
                <c:ptCount val="1"/>
                <c:pt idx="0">
                  <c:v>Count of Occupation</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6-D55B-45B5-BBE8-7372F9DF4AF7}"/>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8-D55B-45B5-BBE8-7372F9DF4AF7}"/>
              </c:ext>
            </c:extLst>
          </c:dPt>
          <c:dLbls>
            <c:dLbl>
              <c:idx val="0"/>
              <c:layout>
                <c:manualLayout>
                  <c:x val="0.10451306413301663"/>
                  <c:y val="0.1559453871886565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5B-45B5-BBE8-7372F9DF4AF7}"/>
                </c:ext>
              </c:extLst>
            </c:dLbl>
            <c:dLbl>
              <c:idx val="1"/>
              <c:layout>
                <c:manualLayout>
                  <c:x val="-1.2668250197941409E-2"/>
                  <c:y val="0.3066925948043581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5B-45B5-BBE8-7372F9DF4AF7}"/>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2'!$C$4:$C$6</c:f>
              <c:strCache>
                <c:ptCount val="2"/>
                <c:pt idx="0">
                  <c:v>Female</c:v>
                </c:pt>
                <c:pt idx="1">
                  <c:v>Male</c:v>
                </c:pt>
              </c:strCache>
            </c:strRef>
          </c:cat>
          <c:val>
            <c:numRef>
              <c:f>'Pivot Table 2'!$E$4:$E$6</c:f>
              <c:numCache>
                <c:formatCode>General</c:formatCode>
                <c:ptCount val="2"/>
                <c:pt idx="0">
                  <c:v>489</c:v>
                </c:pt>
                <c:pt idx="1">
                  <c:v>511</c:v>
                </c:pt>
              </c:numCache>
            </c:numRef>
          </c:val>
          <c:extLst>
            <c:ext xmlns:c16="http://schemas.microsoft.com/office/drawing/2014/chart" uri="{C3380CC4-5D6E-409C-BE32-E72D297353CC}">
              <c16:uniqueId val="{00000009-D55B-45B5-BBE8-7372F9DF4AF7}"/>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11</xdr:col>
      <xdr:colOff>19050</xdr:colOff>
      <xdr:row>2</xdr:row>
      <xdr:rowOff>142876</xdr:rowOff>
    </xdr:from>
    <xdr:to>
      <xdr:col>14</xdr:col>
      <xdr:colOff>285750</xdr:colOff>
      <xdr:row>11</xdr:row>
      <xdr:rowOff>161926</xdr:rowOff>
    </xdr:to>
    <mc:AlternateContent xmlns:mc="http://schemas.openxmlformats.org/markup-compatibility/2006" xmlns:a14="http://schemas.microsoft.com/office/drawing/2010/main">
      <mc:Choice Requires="a14">
        <xdr:graphicFrame macro="">
          <xdr:nvGraphicFramePr>
            <xdr:cNvPr id="2" name="Age Brackets">
              <a:extLst>
                <a:ext uri="{FF2B5EF4-FFF2-40B4-BE49-F238E27FC236}">
                  <a16:creationId xmlns:a16="http://schemas.microsoft.com/office/drawing/2014/main" id="{E46A9A28-05A1-D877-7B23-926634E9DB95}"/>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8677275" y="523876"/>
              <a:ext cx="20955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466725</xdr:colOff>
      <xdr:row>2</xdr:row>
      <xdr:rowOff>114300</xdr:rowOff>
    </xdr:from>
    <xdr:to>
      <xdr:col>10</xdr:col>
      <xdr:colOff>161925</xdr:colOff>
      <xdr:row>11</xdr:row>
      <xdr:rowOff>47625</xdr:rowOff>
    </xdr:to>
    <xdr:graphicFrame macro="">
      <xdr:nvGraphicFramePr>
        <xdr:cNvPr id="3" name="Chart 2">
          <a:extLst>
            <a:ext uri="{FF2B5EF4-FFF2-40B4-BE49-F238E27FC236}">
              <a16:creationId xmlns:a16="http://schemas.microsoft.com/office/drawing/2014/main" id="{A6F2BA91-AE79-6127-92DE-3E32C49BB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12</xdr:row>
      <xdr:rowOff>166687</xdr:rowOff>
    </xdr:from>
    <xdr:to>
      <xdr:col>10</xdr:col>
      <xdr:colOff>0</xdr:colOff>
      <xdr:row>23</xdr:row>
      <xdr:rowOff>171450</xdr:rowOff>
    </xdr:to>
    <xdr:graphicFrame macro="">
      <xdr:nvGraphicFramePr>
        <xdr:cNvPr id="4" name="Chart 3">
          <a:extLst>
            <a:ext uri="{FF2B5EF4-FFF2-40B4-BE49-F238E27FC236}">
              <a16:creationId xmlns:a16="http://schemas.microsoft.com/office/drawing/2014/main" id="{D1FFB114-4200-7CAA-FB9C-B8CF488C0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438149</xdr:colOff>
      <xdr:row>26</xdr:row>
      <xdr:rowOff>176212</xdr:rowOff>
    </xdr:from>
    <xdr:to>
      <xdr:col>9</xdr:col>
      <xdr:colOff>352424</xdr:colOff>
      <xdr:row>37</xdr:row>
      <xdr:rowOff>104775</xdr:rowOff>
    </xdr:to>
    <xdr:graphicFrame macro="">
      <xdr:nvGraphicFramePr>
        <xdr:cNvPr id="5" name="Chart 4">
          <a:extLst>
            <a:ext uri="{FF2B5EF4-FFF2-40B4-BE49-F238E27FC236}">
              <a16:creationId xmlns:a16="http://schemas.microsoft.com/office/drawing/2014/main" id="{958D075B-8C83-CFB6-791D-7803F4F01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561975</xdr:colOff>
      <xdr:row>1</xdr:row>
      <xdr:rowOff>176212</xdr:rowOff>
    </xdr:from>
    <xdr:to>
      <xdr:col>11</xdr:col>
      <xdr:colOff>238125</xdr:colOff>
      <xdr:row>14</xdr:row>
      <xdr:rowOff>142875</xdr:rowOff>
    </xdr:to>
    <xdr:graphicFrame macro="">
      <xdr:nvGraphicFramePr>
        <xdr:cNvPr id="2" name="Chart 1">
          <a:extLst>
            <a:ext uri="{FF2B5EF4-FFF2-40B4-BE49-F238E27FC236}">
              <a16:creationId xmlns:a16="http://schemas.microsoft.com/office/drawing/2014/main" id="{DFCBBE5E-BFC6-FEB7-E1B4-E0C37591A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314325</xdr:colOff>
      <xdr:row>15</xdr:row>
      <xdr:rowOff>100012</xdr:rowOff>
    </xdr:from>
    <xdr:to>
      <xdr:col>11</xdr:col>
      <xdr:colOff>552450</xdr:colOff>
      <xdr:row>29</xdr:row>
      <xdr:rowOff>176212</xdr:rowOff>
    </xdr:to>
    <xdr:graphicFrame macro="">
      <xdr:nvGraphicFramePr>
        <xdr:cNvPr id="3" name="Chart 2">
          <a:extLst>
            <a:ext uri="{FF2B5EF4-FFF2-40B4-BE49-F238E27FC236}">
              <a16:creationId xmlns:a16="http://schemas.microsoft.com/office/drawing/2014/main" id="{9E9A699D-A51D-2BFA-D55C-EB0DC81CB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2</xdr:row>
      <xdr:rowOff>28575</xdr:rowOff>
    </xdr:from>
    <xdr:to>
      <xdr:col>1</xdr:col>
      <xdr:colOff>1228725</xdr:colOff>
      <xdr:row>8</xdr:row>
      <xdr:rowOff>114300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DECF27E-90E2-29DF-B173-426C90DB95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409575"/>
              <a:ext cx="18288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8</xdr:row>
      <xdr:rowOff>133350</xdr:rowOff>
    </xdr:from>
    <xdr:to>
      <xdr:col>2</xdr:col>
      <xdr:colOff>0</xdr:colOff>
      <xdr:row>17</xdr:row>
      <xdr:rowOff>142875</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330262E7-3A2A-1AA5-41A1-9454E540994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9050" y="1657350"/>
              <a:ext cx="18288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8</xdr:row>
      <xdr:rowOff>190499</xdr:rowOff>
    </xdr:from>
    <xdr:to>
      <xdr:col>10</xdr:col>
      <xdr:colOff>419100</xdr:colOff>
      <xdr:row>22</xdr:row>
      <xdr:rowOff>123824</xdr:rowOff>
    </xdr:to>
    <xdr:graphicFrame macro="">
      <xdr:nvGraphicFramePr>
        <xdr:cNvPr id="2" name="Chart 1">
          <a:extLst>
            <a:ext uri="{FF2B5EF4-FFF2-40B4-BE49-F238E27FC236}">
              <a16:creationId xmlns:a16="http://schemas.microsoft.com/office/drawing/2014/main" id="{4C368BF4-5BE2-4A6F-B041-71C862A6C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428625</xdr:colOff>
      <xdr:row>9</xdr:row>
      <xdr:rowOff>28575</xdr:rowOff>
    </xdr:from>
    <xdr:to>
      <xdr:col>18</xdr:col>
      <xdr:colOff>123825</xdr:colOff>
      <xdr:row>22</xdr:row>
      <xdr:rowOff>104774</xdr:rowOff>
    </xdr:to>
    <xdr:graphicFrame macro="">
      <xdr:nvGraphicFramePr>
        <xdr:cNvPr id="3" name="Chart 2">
          <a:extLst>
            <a:ext uri="{FF2B5EF4-FFF2-40B4-BE49-F238E27FC236}">
              <a16:creationId xmlns:a16="http://schemas.microsoft.com/office/drawing/2014/main" id="{90B2F3E1-C234-4FB0-BCF1-1CE2BA267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600076</xdr:colOff>
      <xdr:row>22</xdr:row>
      <xdr:rowOff>123824</xdr:rowOff>
    </xdr:from>
    <xdr:to>
      <xdr:col>10</xdr:col>
      <xdr:colOff>428625</xdr:colOff>
      <xdr:row>38</xdr:row>
      <xdr:rowOff>38099</xdr:rowOff>
    </xdr:to>
    <xdr:graphicFrame macro="">
      <xdr:nvGraphicFramePr>
        <xdr:cNvPr id="4" name="Chart 3">
          <a:extLst>
            <a:ext uri="{FF2B5EF4-FFF2-40B4-BE49-F238E27FC236}">
              <a16:creationId xmlns:a16="http://schemas.microsoft.com/office/drawing/2014/main" id="{AE3673D2-660A-46EA-8DF4-16E81EDB5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438150</xdr:colOff>
      <xdr:row>22</xdr:row>
      <xdr:rowOff>114300</xdr:rowOff>
    </xdr:from>
    <xdr:to>
      <xdr:col>18</xdr:col>
      <xdr:colOff>142875</xdr:colOff>
      <xdr:row>38</xdr:row>
      <xdr:rowOff>28575</xdr:rowOff>
    </xdr:to>
    <xdr:graphicFrame macro="">
      <xdr:nvGraphicFramePr>
        <xdr:cNvPr id="5" name="Chart 4">
          <a:extLst>
            <a:ext uri="{FF2B5EF4-FFF2-40B4-BE49-F238E27FC236}">
              <a16:creationId xmlns:a16="http://schemas.microsoft.com/office/drawing/2014/main" id="{BE01E2BE-7723-4E0B-BC40-7B5470198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29</xdr:row>
      <xdr:rowOff>19051</xdr:rowOff>
    </xdr:from>
    <xdr:to>
      <xdr:col>3</xdr:col>
      <xdr:colOff>0</xdr:colOff>
      <xdr:row>38</xdr:row>
      <xdr:rowOff>47625</xdr:rowOff>
    </xdr:to>
    <mc:AlternateContent xmlns:mc="http://schemas.openxmlformats.org/markup-compatibility/2006" xmlns:a14="http://schemas.microsoft.com/office/drawing/2010/main">
      <mc:Choice Requires="a14">
        <xdr:graphicFrame macro="">
          <xdr:nvGraphicFramePr>
            <xdr:cNvPr id="6" name="Education 1">
              <a:extLst>
                <a:ext uri="{FF2B5EF4-FFF2-40B4-BE49-F238E27FC236}">
                  <a16:creationId xmlns:a16="http://schemas.microsoft.com/office/drawing/2014/main" id="{22DC6A3E-2B27-0737-8881-8B783D7590E9}"/>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0" y="5543551"/>
              <a:ext cx="1828800" cy="1743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28576</xdr:rowOff>
    </xdr:from>
    <xdr:to>
      <xdr:col>3</xdr:col>
      <xdr:colOff>0</xdr:colOff>
      <xdr:row>29</xdr:row>
      <xdr:rowOff>9526</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55428342-7510-4A83-A649-FA61245377B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3838576"/>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161925</xdr:rowOff>
    </xdr:from>
    <xdr:to>
      <xdr:col>3</xdr:col>
      <xdr:colOff>0</xdr:colOff>
      <xdr:row>20</xdr:row>
      <xdr:rowOff>28575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0DF197EB-4161-6FBE-5F73-A4F618F3F5B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638425"/>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180975</xdr:rowOff>
    </xdr:from>
    <xdr:to>
      <xdr:col>3</xdr:col>
      <xdr:colOff>0</xdr:colOff>
      <xdr:row>13</xdr:row>
      <xdr:rowOff>180975</xdr:rowOff>
    </xdr:to>
    <mc:AlternateContent xmlns:mc="http://schemas.openxmlformats.org/markup-compatibility/2006" xmlns:a14="http://schemas.microsoft.com/office/drawing/2010/main">
      <mc:Choice Requires="a14">
        <xdr:graphicFrame macro="">
          <xdr:nvGraphicFramePr>
            <xdr:cNvPr id="9" name="Age Brackets 1">
              <a:extLst>
                <a:ext uri="{FF2B5EF4-FFF2-40B4-BE49-F238E27FC236}">
                  <a16:creationId xmlns:a16="http://schemas.microsoft.com/office/drawing/2014/main" id="{D6FAF77E-1CFB-9A7A-A8BB-DA783225A2CA}"/>
                </a:ext>
              </a:extLst>
            </xdr:cNvPr>
            <xdr:cNvGraphicFramePr/>
          </xdr:nvGraphicFramePr>
          <xdr:xfrm>
            <a:off x="0" y="0"/>
            <a:ext cx="0" cy="0"/>
          </xdr:xfrm>
          <a:graphic>
            <a:graphicData uri="http://schemas.microsoft.com/office/drawing/2010/slicer">
              <sle:slicer xmlns:sle="http://schemas.microsoft.com/office/drawing/2010/slicer" name="Age Brackets 1"/>
            </a:graphicData>
          </a:graphic>
        </xdr:graphicFrame>
      </mc:Choice>
      <mc:Fallback xmlns="">
        <xdr:sp macro="" textlink="">
          <xdr:nvSpPr>
            <xdr:cNvPr id="0" name=""/>
            <xdr:cNvSpPr>
              <a:spLocks noTextEdit="1"/>
            </xdr:cNvSpPr>
          </xdr:nvSpPr>
          <xdr:spPr>
            <a:xfrm>
              <a:off x="0" y="942975"/>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Fahad" refreshedDate="46236.648239699076" createdVersion="8" refreshedVersion="8" minRefreshableVersion="3" recordCount="1000" xr:uid="{633A6F99-19EF-4129-B0E0-F408CA2E0253}">
  <cacheSource type="worksheet">
    <worksheetSource ref="A1:N1001" sheet="Bike_Buyers_Cleaned"/>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Young"/>
        <s v="Old"/>
        <s v="Mid Life"/>
        <s v="Very Young"/>
        <s v="Older"/>
      </sharedItems>
    </cacheField>
    <cacheField name="Purchased Bike" numFmtId="0">
      <sharedItems count="2">
        <s v="No"/>
        <s v="Yes"/>
      </sharedItems>
    </cacheField>
  </cacheFields>
  <extLst>
    <ext xmlns:x14="http://schemas.microsoft.com/office/spreadsheetml/2009/9/main" uri="{725AE2AE-9491-48be-B2B4-4EB974FC3084}">
      <x14:pivotCacheDefinition pivotCacheId="1445356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s v="0-1 Miles"/>
    <x v="0"/>
    <n v="42"/>
    <x v="0"/>
    <x v="0"/>
  </r>
  <r>
    <n v="24107"/>
    <x v="0"/>
    <x v="1"/>
    <n v="30000"/>
    <n v="3"/>
    <x v="1"/>
    <x v="1"/>
    <x v="0"/>
    <n v="1"/>
    <s v="0-1 Miles"/>
    <x v="0"/>
    <n v="43"/>
    <x v="0"/>
    <x v="0"/>
  </r>
  <r>
    <n v="14177"/>
    <x v="0"/>
    <x v="1"/>
    <n v="80000"/>
    <n v="5"/>
    <x v="1"/>
    <x v="2"/>
    <x v="1"/>
    <n v="2"/>
    <s v="2-5 Miles"/>
    <x v="0"/>
    <n v="60"/>
    <x v="1"/>
    <x v="0"/>
  </r>
  <r>
    <n v="24381"/>
    <x v="1"/>
    <x v="1"/>
    <n v="70000"/>
    <n v="0"/>
    <x v="0"/>
    <x v="2"/>
    <x v="0"/>
    <n v="1"/>
    <s v="5-10 Miles"/>
    <x v="1"/>
    <n v="41"/>
    <x v="0"/>
    <x v="1"/>
  </r>
  <r>
    <n v="25597"/>
    <x v="1"/>
    <x v="1"/>
    <n v="30000"/>
    <n v="0"/>
    <x v="0"/>
    <x v="1"/>
    <x v="1"/>
    <n v="0"/>
    <s v="0-1 Miles"/>
    <x v="0"/>
    <n v="36"/>
    <x v="0"/>
    <x v="1"/>
  </r>
  <r>
    <n v="13507"/>
    <x v="0"/>
    <x v="0"/>
    <n v="10000"/>
    <n v="2"/>
    <x v="1"/>
    <x v="3"/>
    <x v="0"/>
    <n v="0"/>
    <s v="1-2 Miles"/>
    <x v="0"/>
    <n v="50"/>
    <x v="2"/>
    <x v="0"/>
  </r>
  <r>
    <n v="27974"/>
    <x v="1"/>
    <x v="1"/>
    <n v="160000"/>
    <n v="2"/>
    <x v="2"/>
    <x v="4"/>
    <x v="0"/>
    <n v="4"/>
    <s v="0-1 Miles"/>
    <x v="1"/>
    <n v="33"/>
    <x v="3"/>
    <x v="1"/>
  </r>
  <r>
    <n v="19364"/>
    <x v="0"/>
    <x v="1"/>
    <n v="40000"/>
    <n v="1"/>
    <x v="0"/>
    <x v="0"/>
    <x v="0"/>
    <n v="0"/>
    <s v="0-1 Miles"/>
    <x v="0"/>
    <n v="43"/>
    <x v="0"/>
    <x v="1"/>
  </r>
  <r>
    <n v="22155"/>
    <x v="0"/>
    <x v="1"/>
    <n v="20000"/>
    <n v="2"/>
    <x v="3"/>
    <x v="1"/>
    <x v="0"/>
    <n v="2"/>
    <s v="5-10 Miles"/>
    <x v="1"/>
    <n v="58"/>
    <x v="1"/>
    <x v="0"/>
  </r>
  <r>
    <n v="19280"/>
    <x v="0"/>
    <x v="1"/>
    <n v="120000"/>
    <n v="2"/>
    <x v="1"/>
    <x v="3"/>
    <x v="0"/>
    <n v="1"/>
    <s v="0-1 Miles"/>
    <x v="0"/>
    <n v="40"/>
    <x v="0"/>
    <x v="1"/>
  </r>
  <r>
    <n v="22173"/>
    <x v="0"/>
    <x v="0"/>
    <n v="30000"/>
    <n v="3"/>
    <x v="2"/>
    <x v="0"/>
    <x v="1"/>
    <n v="2"/>
    <s v="1-2 Miles"/>
    <x v="1"/>
    <n v="54"/>
    <x v="2"/>
    <x v="1"/>
  </r>
  <r>
    <n v="12697"/>
    <x v="1"/>
    <x v="0"/>
    <n v="90000"/>
    <n v="0"/>
    <x v="0"/>
    <x v="2"/>
    <x v="1"/>
    <n v="4"/>
    <s v="10+ Miles"/>
    <x v="1"/>
    <n v="36"/>
    <x v="0"/>
    <x v="0"/>
  </r>
  <r>
    <n v="11434"/>
    <x v="0"/>
    <x v="1"/>
    <n v="170000"/>
    <n v="5"/>
    <x v="1"/>
    <x v="2"/>
    <x v="0"/>
    <n v="0"/>
    <s v="0-1 Miles"/>
    <x v="0"/>
    <n v="55"/>
    <x v="2"/>
    <x v="0"/>
  </r>
  <r>
    <n v="25323"/>
    <x v="0"/>
    <x v="1"/>
    <n v="40000"/>
    <n v="2"/>
    <x v="1"/>
    <x v="1"/>
    <x v="0"/>
    <n v="1"/>
    <s v="1-2 Miles"/>
    <x v="0"/>
    <n v="35"/>
    <x v="3"/>
    <x v="1"/>
  </r>
  <r>
    <n v="23542"/>
    <x v="1"/>
    <x v="1"/>
    <n v="60000"/>
    <n v="1"/>
    <x v="1"/>
    <x v="0"/>
    <x v="1"/>
    <n v="1"/>
    <s v="0-1 Miles"/>
    <x v="1"/>
    <n v="45"/>
    <x v="0"/>
    <x v="1"/>
  </r>
  <r>
    <n v="20870"/>
    <x v="1"/>
    <x v="0"/>
    <n v="10000"/>
    <n v="2"/>
    <x v="2"/>
    <x v="3"/>
    <x v="0"/>
    <n v="1"/>
    <s v="0-1 Miles"/>
    <x v="0"/>
    <n v="38"/>
    <x v="0"/>
    <x v="1"/>
  </r>
  <r>
    <n v="23316"/>
    <x v="1"/>
    <x v="1"/>
    <n v="30000"/>
    <n v="3"/>
    <x v="1"/>
    <x v="1"/>
    <x v="1"/>
    <n v="2"/>
    <s v="1-2 Miles"/>
    <x v="1"/>
    <n v="59"/>
    <x v="1"/>
    <x v="1"/>
  </r>
  <r>
    <n v="12610"/>
    <x v="0"/>
    <x v="0"/>
    <n v="30000"/>
    <n v="1"/>
    <x v="0"/>
    <x v="1"/>
    <x v="0"/>
    <n v="0"/>
    <s v="0-1 Miles"/>
    <x v="0"/>
    <n v="47"/>
    <x v="2"/>
    <x v="0"/>
  </r>
  <r>
    <n v="27183"/>
    <x v="1"/>
    <x v="1"/>
    <n v="40000"/>
    <n v="2"/>
    <x v="1"/>
    <x v="1"/>
    <x v="0"/>
    <n v="1"/>
    <s v="1-2 Miles"/>
    <x v="0"/>
    <n v="35"/>
    <x v="3"/>
    <x v="1"/>
  </r>
  <r>
    <n v="25940"/>
    <x v="1"/>
    <x v="1"/>
    <n v="20000"/>
    <n v="2"/>
    <x v="3"/>
    <x v="1"/>
    <x v="0"/>
    <n v="2"/>
    <s v="5-10 Miles"/>
    <x v="1"/>
    <n v="55"/>
    <x v="2"/>
    <x v="1"/>
  </r>
  <r>
    <n v="25598"/>
    <x v="0"/>
    <x v="0"/>
    <n v="40000"/>
    <n v="0"/>
    <x v="4"/>
    <x v="1"/>
    <x v="0"/>
    <n v="0"/>
    <s v="0-1 Miles"/>
    <x v="0"/>
    <n v="36"/>
    <x v="0"/>
    <x v="1"/>
  </r>
  <r>
    <n v="21564"/>
    <x v="1"/>
    <x v="0"/>
    <n v="80000"/>
    <n v="0"/>
    <x v="0"/>
    <x v="2"/>
    <x v="0"/>
    <n v="4"/>
    <s v="10+ Miles"/>
    <x v="1"/>
    <n v="35"/>
    <x v="3"/>
    <x v="0"/>
  </r>
  <r>
    <n v="19193"/>
    <x v="1"/>
    <x v="1"/>
    <n v="40000"/>
    <n v="2"/>
    <x v="1"/>
    <x v="1"/>
    <x v="0"/>
    <n v="0"/>
    <s v="1-2 Miles"/>
    <x v="0"/>
    <n v="35"/>
    <x v="3"/>
    <x v="1"/>
  </r>
  <r>
    <n v="26412"/>
    <x v="0"/>
    <x v="0"/>
    <n v="80000"/>
    <n v="5"/>
    <x v="2"/>
    <x v="4"/>
    <x v="1"/>
    <n v="3"/>
    <s v="5-10 Miles"/>
    <x v="0"/>
    <n v="56"/>
    <x v="1"/>
    <x v="0"/>
  </r>
  <r>
    <n v="27184"/>
    <x v="1"/>
    <x v="1"/>
    <n v="40000"/>
    <n v="2"/>
    <x v="1"/>
    <x v="1"/>
    <x v="1"/>
    <n v="1"/>
    <s v="0-1 Miles"/>
    <x v="0"/>
    <n v="34"/>
    <x v="3"/>
    <x v="0"/>
  </r>
  <r>
    <n v="12590"/>
    <x v="1"/>
    <x v="1"/>
    <n v="30000"/>
    <n v="1"/>
    <x v="0"/>
    <x v="1"/>
    <x v="0"/>
    <n v="0"/>
    <s v="0-1 Miles"/>
    <x v="0"/>
    <n v="63"/>
    <x v="1"/>
    <x v="0"/>
  </r>
  <r>
    <n v="17841"/>
    <x v="1"/>
    <x v="1"/>
    <n v="30000"/>
    <n v="0"/>
    <x v="1"/>
    <x v="1"/>
    <x v="1"/>
    <n v="1"/>
    <s v="0-1 Miles"/>
    <x v="0"/>
    <n v="29"/>
    <x v="3"/>
    <x v="1"/>
  </r>
  <r>
    <n v="18283"/>
    <x v="1"/>
    <x v="0"/>
    <n v="100000"/>
    <n v="0"/>
    <x v="0"/>
    <x v="2"/>
    <x v="1"/>
    <n v="1"/>
    <s v="5-10 Miles"/>
    <x v="1"/>
    <n v="40"/>
    <x v="0"/>
    <x v="0"/>
  </r>
  <r>
    <n v="18299"/>
    <x v="0"/>
    <x v="1"/>
    <n v="70000"/>
    <n v="5"/>
    <x v="1"/>
    <x v="0"/>
    <x v="0"/>
    <n v="2"/>
    <s v="5-10 Miles"/>
    <x v="1"/>
    <n v="44"/>
    <x v="0"/>
    <x v="0"/>
  </r>
  <r>
    <n v="16466"/>
    <x v="1"/>
    <x v="0"/>
    <n v="20000"/>
    <n v="0"/>
    <x v="3"/>
    <x v="3"/>
    <x v="1"/>
    <n v="2"/>
    <s v="0-1 Miles"/>
    <x v="0"/>
    <n v="32"/>
    <x v="3"/>
    <x v="1"/>
  </r>
  <r>
    <n v="19273"/>
    <x v="0"/>
    <x v="0"/>
    <n v="20000"/>
    <n v="2"/>
    <x v="1"/>
    <x v="3"/>
    <x v="0"/>
    <n v="0"/>
    <s v="0-1 Miles"/>
    <x v="0"/>
    <n v="63"/>
    <x v="1"/>
    <x v="0"/>
  </r>
  <r>
    <n v="22400"/>
    <x v="0"/>
    <x v="1"/>
    <n v="10000"/>
    <n v="0"/>
    <x v="1"/>
    <x v="3"/>
    <x v="1"/>
    <n v="1"/>
    <s v="0-1 Miles"/>
    <x v="1"/>
    <n v="26"/>
    <x v="3"/>
    <x v="1"/>
  </r>
  <r>
    <n v="20942"/>
    <x v="1"/>
    <x v="0"/>
    <n v="20000"/>
    <n v="0"/>
    <x v="2"/>
    <x v="3"/>
    <x v="1"/>
    <n v="1"/>
    <s v="5-10 Miles"/>
    <x v="0"/>
    <n v="31"/>
    <x v="3"/>
    <x v="0"/>
  </r>
  <r>
    <n v="18484"/>
    <x v="1"/>
    <x v="1"/>
    <n v="80000"/>
    <n v="2"/>
    <x v="2"/>
    <x v="0"/>
    <x v="1"/>
    <n v="2"/>
    <s v="1-2 Miles"/>
    <x v="1"/>
    <n v="50"/>
    <x v="2"/>
    <x v="1"/>
  </r>
  <r>
    <n v="12291"/>
    <x v="1"/>
    <x v="1"/>
    <n v="90000"/>
    <n v="5"/>
    <x v="1"/>
    <x v="2"/>
    <x v="1"/>
    <n v="2"/>
    <s v="2-5 Miles"/>
    <x v="0"/>
    <n v="62"/>
    <x v="1"/>
    <x v="1"/>
  </r>
  <r>
    <n v="28380"/>
    <x v="1"/>
    <x v="0"/>
    <n v="10000"/>
    <n v="5"/>
    <x v="3"/>
    <x v="3"/>
    <x v="1"/>
    <n v="2"/>
    <s v="0-1 Miles"/>
    <x v="0"/>
    <n v="41"/>
    <x v="0"/>
    <x v="0"/>
  </r>
  <r>
    <n v="17891"/>
    <x v="0"/>
    <x v="0"/>
    <n v="10000"/>
    <n v="2"/>
    <x v="1"/>
    <x v="3"/>
    <x v="0"/>
    <n v="1"/>
    <s v="0-1 Miles"/>
    <x v="0"/>
    <n v="50"/>
    <x v="2"/>
    <x v="1"/>
  </r>
  <r>
    <n v="27832"/>
    <x v="1"/>
    <x v="0"/>
    <n v="30000"/>
    <n v="0"/>
    <x v="1"/>
    <x v="1"/>
    <x v="1"/>
    <n v="1"/>
    <s v="2-5 Miles"/>
    <x v="0"/>
    <n v="30"/>
    <x v="3"/>
    <x v="0"/>
  </r>
  <r>
    <n v="26863"/>
    <x v="1"/>
    <x v="1"/>
    <n v="20000"/>
    <n v="0"/>
    <x v="2"/>
    <x v="3"/>
    <x v="1"/>
    <n v="1"/>
    <s v="2-5 Miles"/>
    <x v="0"/>
    <n v="28"/>
    <x v="3"/>
    <x v="0"/>
  </r>
  <r>
    <n v="16259"/>
    <x v="1"/>
    <x v="0"/>
    <n v="10000"/>
    <n v="4"/>
    <x v="3"/>
    <x v="3"/>
    <x v="0"/>
    <n v="2"/>
    <s v="0-1 Miles"/>
    <x v="0"/>
    <n v="40"/>
    <x v="0"/>
    <x v="1"/>
  </r>
  <r>
    <n v="27803"/>
    <x v="1"/>
    <x v="0"/>
    <n v="30000"/>
    <n v="2"/>
    <x v="1"/>
    <x v="1"/>
    <x v="1"/>
    <n v="0"/>
    <s v="0-1 Miles"/>
    <x v="0"/>
    <n v="43"/>
    <x v="0"/>
    <x v="0"/>
  </r>
  <r>
    <n v="14347"/>
    <x v="1"/>
    <x v="0"/>
    <n v="40000"/>
    <n v="2"/>
    <x v="0"/>
    <x v="4"/>
    <x v="0"/>
    <n v="2"/>
    <s v="5-10 Miles"/>
    <x v="1"/>
    <n v="65"/>
    <x v="1"/>
    <x v="1"/>
  </r>
  <r>
    <n v="17703"/>
    <x v="0"/>
    <x v="0"/>
    <n v="10000"/>
    <n v="1"/>
    <x v="4"/>
    <x v="3"/>
    <x v="0"/>
    <n v="0"/>
    <s v="0-1 Miles"/>
    <x v="0"/>
    <n v="40"/>
    <x v="0"/>
    <x v="0"/>
  </r>
  <r>
    <n v="17185"/>
    <x v="0"/>
    <x v="0"/>
    <n v="170000"/>
    <n v="4"/>
    <x v="1"/>
    <x v="2"/>
    <x v="1"/>
    <n v="3"/>
    <s v="5-10 Miles"/>
    <x v="0"/>
    <n v="48"/>
    <x v="2"/>
    <x v="1"/>
  </r>
  <r>
    <n v="29380"/>
    <x v="0"/>
    <x v="0"/>
    <n v="20000"/>
    <n v="3"/>
    <x v="2"/>
    <x v="3"/>
    <x v="0"/>
    <n v="0"/>
    <s v="0-1 Miles"/>
    <x v="0"/>
    <n v="41"/>
    <x v="0"/>
    <x v="1"/>
  </r>
  <r>
    <n v="23986"/>
    <x v="0"/>
    <x v="0"/>
    <n v="20000"/>
    <n v="1"/>
    <x v="0"/>
    <x v="1"/>
    <x v="0"/>
    <n v="0"/>
    <s v="0-1 Miles"/>
    <x v="0"/>
    <n v="66"/>
    <x v="4"/>
    <x v="1"/>
  </r>
  <r>
    <n v="24466"/>
    <x v="0"/>
    <x v="0"/>
    <n v="60000"/>
    <n v="1"/>
    <x v="1"/>
    <x v="0"/>
    <x v="0"/>
    <n v="1"/>
    <s v="5-10 Miles"/>
    <x v="1"/>
    <n v="46"/>
    <x v="2"/>
    <x v="1"/>
  </r>
  <r>
    <n v="29097"/>
    <x v="1"/>
    <x v="0"/>
    <n v="40000"/>
    <n v="2"/>
    <x v="1"/>
    <x v="0"/>
    <x v="0"/>
    <n v="2"/>
    <s v="5-10 Miles"/>
    <x v="1"/>
    <n v="52"/>
    <x v="2"/>
    <x v="1"/>
  </r>
  <r>
    <n v="19487"/>
    <x v="0"/>
    <x v="1"/>
    <n v="30000"/>
    <n v="2"/>
    <x v="1"/>
    <x v="1"/>
    <x v="1"/>
    <n v="2"/>
    <s v="0-1 Miles"/>
    <x v="0"/>
    <n v="42"/>
    <x v="0"/>
    <x v="0"/>
  </r>
  <r>
    <n v="14939"/>
    <x v="1"/>
    <x v="1"/>
    <n v="40000"/>
    <n v="0"/>
    <x v="0"/>
    <x v="1"/>
    <x v="0"/>
    <n v="0"/>
    <s v="0-1 Miles"/>
    <x v="0"/>
    <n v="39"/>
    <x v="0"/>
    <x v="1"/>
  </r>
  <r>
    <n v="13826"/>
    <x v="1"/>
    <x v="0"/>
    <n v="30000"/>
    <n v="0"/>
    <x v="1"/>
    <x v="1"/>
    <x v="1"/>
    <n v="1"/>
    <s v="0-1 Miles"/>
    <x v="0"/>
    <n v="28"/>
    <x v="3"/>
    <x v="0"/>
  </r>
  <r>
    <n v="20619"/>
    <x v="1"/>
    <x v="1"/>
    <n v="80000"/>
    <n v="0"/>
    <x v="0"/>
    <x v="2"/>
    <x v="1"/>
    <n v="4"/>
    <s v="10+ Miles"/>
    <x v="1"/>
    <n v="35"/>
    <x v="3"/>
    <x v="0"/>
  </r>
  <r>
    <n v="12558"/>
    <x v="0"/>
    <x v="0"/>
    <n v="20000"/>
    <n v="1"/>
    <x v="0"/>
    <x v="1"/>
    <x v="0"/>
    <n v="0"/>
    <s v="0-1 Miles"/>
    <x v="0"/>
    <n v="65"/>
    <x v="1"/>
    <x v="0"/>
  </r>
  <r>
    <n v="24871"/>
    <x v="1"/>
    <x v="0"/>
    <n v="90000"/>
    <n v="4"/>
    <x v="2"/>
    <x v="4"/>
    <x v="1"/>
    <n v="3"/>
    <s v="5-10 Miles"/>
    <x v="0"/>
    <n v="56"/>
    <x v="1"/>
    <x v="0"/>
  </r>
  <r>
    <n v="17319"/>
    <x v="1"/>
    <x v="0"/>
    <n v="70000"/>
    <n v="0"/>
    <x v="0"/>
    <x v="2"/>
    <x v="1"/>
    <n v="1"/>
    <s v="5-10 Miles"/>
    <x v="1"/>
    <n v="42"/>
    <x v="0"/>
    <x v="0"/>
  </r>
  <r>
    <n v="28906"/>
    <x v="0"/>
    <x v="1"/>
    <n v="80000"/>
    <n v="4"/>
    <x v="2"/>
    <x v="2"/>
    <x v="0"/>
    <n v="2"/>
    <s v="10+ Miles"/>
    <x v="0"/>
    <n v="54"/>
    <x v="2"/>
    <x v="0"/>
  </r>
  <r>
    <n v="12808"/>
    <x v="0"/>
    <x v="1"/>
    <n v="40000"/>
    <n v="0"/>
    <x v="0"/>
    <x v="1"/>
    <x v="0"/>
    <n v="0"/>
    <s v="0-1 Miles"/>
    <x v="0"/>
    <n v="38"/>
    <x v="0"/>
    <x v="1"/>
  </r>
  <r>
    <n v="20567"/>
    <x v="0"/>
    <x v="1"/>
    <n v="130000"/>
    <n v="4"/>
    <x v="1"/>
    <x v="2"/>
    <x v="1"/>
    <n v="4"/>
    <s v="5-10 Miles"/>
    <x v="0"/>
    <n v="61"/>
    <x v="1"/>
    <x v="1"/>
  </r>
  <r>
    <n v="25502"/>
    <x v="0"/>
    <x v="0"/>
    <n v="40000"/>
    <n v="1"/>
    <x v="0"/>
    <x v="0"/>
    <x v="0"/>
    <n v="0"/>
    <s v="0-1 Miles"/>
    <x v="0"/>
    <n v="43"/>
    <x v="0"/>
    <x v="1"/>
  </r>
  <r>
    <n v="15580"/>
    <x v="0"/>
    <x v="1"/>
    <n v="60000"/>
    <n v="2"/>
    <x v="0"/>
    <x v="2"/>
    <x v="0"/>
    <n v="1"/>
    <s v="2-5 Miles"/>
    <x v="1"/>
    <n v="38"/>
    <x v="0"/>
    <x v="1"/>
  </r>
  <r>
    <n v="24185"/>
    <x v="1"/>
    <x v="0"/>
    <n v="10000"/>
    <n v="1"/>
    <x v="2"/>
    <x v="3"/>
    <x v="1"/>
    <n v="1"/>
    <s v="1-2 Miles"/>
    <x v="0"/>
    <n v="45"/>
    <x v="0"/>
    <x v="0"/>
  </r>
  <r>
    <n v="19291"/>
    <x v="1"/>
    <x v="0"/>
    <n v="10000"/>
    <n v="2"/>
    <x v="2"/>
    <x v="3"/>
    <x v="0"/>
    <n v="0"/>
    <s v="0-1 Miles"/>
    <x v="0"/>
    <n v="35"/>
    <x v="3"/>
    <x v="0"/>
  </r>
  <r>
    <n v="16713"/>
    <x v="0"/>
    <x v="1"/>
    <n v="40000"/>
    <n v="2"/>
    <x v="0"/>
    <x v="4"/>
    <x v="0"/>
    <n v="1"/>
    <s v="0-1 Miles"/>
    <x v="1"/>
    <n v="52"/>
    <x v="2"/>
    <x v="1"/>
  </r>
  <r>
    <n v="16185"/>
    <x v="1"/>
    <x v="1"/>
    <n v="60000"/>
    <n v="4"/>
    <x v="0"/>
    <x v="2"/>
    <x v="0"/>
    <n v="3"/>
    <s v="10+ Miles"/>
    <x v="1"/>
    <n v="41"/>
    <x v="0"/>
    <x v="0"/>
  </r>
  <r>
    <n v="14927"/>
    <x v="0"/>
    <x v="0"/>
    <n v="30000"/>
    <n v="1"/>
    <x v="0"/>
    <x v="1"/>
    <x v="0"/>
    <n v="0"/>
    <s v="0-1 Miles"/>
    <x v="0"/>
    <n v="37"/>
    <x v="0"/>
    <x v="1"/>
  </r>
  <r>
    <n v="29337"/>
    <x v="1"/>
    <x v="1"/>
    <n v="30000"/>
    <n v="2"/>
    <x v="1"/>
    <x v="1"/>
    <x v="0"/>
    <n v="2"/>
    <s v="5-10 Miles"/>
    <x v="1"/>
    <n v="68"/>
    <x v="4"/>
    <x v="0"/>
  </r>
  <r>
    <n v="29355"/>
    <x v="0"/>
    <x v="0"/>
    <n v="40000"/>
    <n v="0"/>
    <x v="4"/>
    <x v="1"/>
    <x v="0"/>
    <n v="0"/>
    <s v="0-1 Miles"/>
    <x v="0"/>
    <n v="37"/>
    <x v="0"/>
    <x v="1"/>
  </r>
  <r>
    <n v="25303"/>
    <x v="1"/>
    <x v="1"/>
    <n v="30000"/>
    <n v="0"/>
    <x v="2"/>
    <x v="3"/>
    <x v="0"/>
    <n v="1"/>
    <s v="2-5 Miles"/>
    <x v="0"/>
    <n v="33"/>
    <x v="3"/>
    <x v="1"/>
  </r>
  <r>
    <n v="14813"/>
    <x v="1"/>
    <x v="0"/>
    <n v="20000"/>
    <n v="4"/>
    <x v="2"/>
    <x v="3"/>
    <x v="0"/>
    <n v="1"/>
    <s v="0-1 Miles"/>
    <x v="0"/>
    <n v="43"/>
    <x v="0"/>
    <x v="1"/>
  </r>
  <r>
    <n v="16438"/>
    <x v="0"/>
    <x v="0"/>
    <n v="10000"/>
    <n v="0"/>
    <x v="3"/>
    <x v="3"/>
    <x v="1"/>
    <n v="2"/>
    <s v="0-1 Miles"/>
    <x v="0"/>
    <n v="30"/>
    <x v="3"/>
    <x v="0"/>
  </r>
  <r>
    <n v="14238"/>
    <x v="0"/>
    <x v="1"/>
    <n v="120000"/>
    <n v="0"/>
    <x v="3"/>
    <x v="2"/>
    <x v="0"/>
    <n v="4"/>
    <s v="10+ Miles"/>
    <x v="1"/>
    <n v="36"/>
    <x v="0"/>
    <x v="1"/>
  </r>
  <r>
    <n v="16200"/>
    <x v="1"/>
    <x v="0"/>
    <n v="10000"/>
    <n v="0"/>
    <x v="3"/>
    <x v="3"/>
    <x v="1"/>
    <n v="2"/>
    <s v="0-1 Miles"/>
    <x v="0"/>
    <n v="35"/>
    <x v="3"/>
    <x v="0"/>
  </r>
  <r>
    <n v="24857"/>
    <x v="0"/>
    <x v="0"/>
    <n v="130000"/>
    <n v="3"/>
    <x v="2"/>
    <x v="2"/>
    <x v="0"/>
    <n v="4"/>
    <s v="0-1 Miles"/>
    <x v="0"/>
    <n v="52"/>
    <x v="2"/>
    <x v="0"/>
  </r>
  <r>
    <n v="26956"/>
    <x v="1"/>
    <x v="0"/>
    <n v="20000"/>
    <n v="0"/>
    <x v="1"/>
    <x v="3"/>
    <x v="1"/>
    <n v="1"/>
    <s v="2-5 Miles"/>
    <x v="0"/>
    <n v="36"/>
    <x v="0"/>
    <x v="1"/>
  </r>
  <r>
    <n v="14517"/>
    <x v="0"/>
    <x v="0"/>
    <n v="20000"/>
    <n v="3"/>
    <x v="2"/>
    <x v="0"/>
    <x v="1"/>
    <n v="2"/>
    <s v="1-2 Miles"/>
    <x v="1"/>
    <n v="62"/>
    <x v="1"/>
    <x v="0"/>
  </r>
  <r>
    <n v="12678"/>
    <x v="1"/>
    <x v="0"/>
    <n v="130000"/>
    <n v="4"/>
    <x v="2"/>
    <x v="4"/>
    <x v="0"/>
    <n v="4"/>
    <s v="0-1 Miles"/>
    <x v="1"/>
    <n v="31"/>
    <x v="3"/>
    <x v="0"/>
  </r>
  <r>
    <n v="16188"/>
    <x v="1"/>
    <x v="0"/>
    <n v="20000"/>
    <n v="0"/>
    <x v="3"/>
    <x v="3"/>
    <x v="1"/>
    <n v="2"/>
    <s v="1-2 Miles"/>
    <x v="0"/>
    <n v="26"/>
    <x v="3"/>
    <x v="0"/>
  </r>
  <r>
    <n v="27969"/>
    <x v="0"/>
    <x v="1"/>
    <n v="80000"/>
    <n v="0"/>
    <x v="0"/>
    <x v="2"/>
    <x v="0"/>
    <n v="2"/>
    <s v="10+ Miles"/>
    <x v="1"/>
    <n v="29"/>
    <x v="3"/>
    <x v="1"/>
  </r>
  <r>
    <n v="15752"/>
    <x v="0"/>
    <x v="1"/>
    <n v="80000"/>
    <n v="2"/>
    <x v="2"/>
    <x v="0"/>
    <x v="1"/>
    <n v="2"/>
    <s v="1-2 Miles"/>
    <x v="1"/>
    <n v="50"/>
    <x v="2"/>
    <x v="1"/>
  </r>
  <r>
    <n v="27745"/>
    <x v="1"/>
    <x v="1"/>
    <n v="40000"/>
    <n v="2"/>
    <x v="0"/>
    <x v="4"/>
    <x v="0"/>
    <n v="2"/>
    <s v="5-10 Miles"/>
    <x v="1"/>
    <n v="63"/>
    <x v="1"/>
    <x v="1"/>
  </r>
  <r>
    <n v="20828"/>
    <x v="0"/>
    <x v="0"/>
    <n v="30000"/>
    <n v="4"/>
    <x v="4"/>
    <x v="1"/>
    <x v="0"/>
    <n v="0"/>
    <s v="0-1 Miles"/>
    <x v="0"/>
    <n v="45"/>
    <x v="0"/>
    <x v="1"/>
  </r>
  <r>
    <n v="19461"/>
    <x v="1"/>
    <x v="0"/>
    <n v="10000"/>
    <n v="4"/>
    <x v="3"/>
    <x v="3"/>
    <x v="0"/>
    <n v="2"/>
    <s v="0-1 Miles"/>
    <x v="0"/>
    <n v="40"/>
    <x v="0"/>
    <x v="0"/>
  </r>
  <r>
    <n v="26941"/>
    <x v="0"/>
    <x v="1"/>
    <n v="30000"/>
    <n v="0"/>
    <x v="0"/>
    <x v="1"/>
    <x v="0"/>
    <n v="0"/>
    <s v="0-1 Miles"/>
    <x v="0"/>
    <n v="47"/>
    <x v="2"/>
    <x v="1"/>
  </r>
  <r>
    <n v="28412"/>
    <x v="1"/>
    <x v="1"/>
    <n v="20000"/>
    <n v="0"/>
    <x v="2"/>
    <x v="3"/>
    <x v="1"/>
    <n v="1"/>
    <s v="2-5 Miles"/>
    <x v="0"/>
    <n v="29"/>
    <x v="3"/>
    <x v="0"/>
  </r>
  <r>
    <n v="24485"/>
    <x v="1"/>
    <x v="1"/>
    <n v="40000"/>
    <n v="2"/>
    <x v="0"/>
    <x v="4"/>
    <x v="1"/>
    <n v="1"/>
    <s v="5-10 Miles"/>
    <x v="1"/>
    <n v="52"/>
    <x v="2"/>
    <x v="1"/>
  </r>
  <r>
    <n v="16514"/>
    <x v="1"/>
    <x v="1"/>
    <n v="10000"/>
    <n v="0"/>
    <x v="1"/>
    <x v="3"/>
    <x v="0"/>
    <n v="1"/>
    <s v="1-2 Miles"/>
    <x v="1"/>
    <n v="26"/>
    <x v="3"/>
    <x v="1"/>
  </r>
  <r>
    <n v="17191"/>
    <x v="1"/>
    <x v="1"/>
    <n v="130000"/>
    <n v="3"/>
    <x v="1"/>
    <x v="2"/>
    <x v="1"/>
    <n v="3"/>
    <s v="0-1 Miles"/>
    <x v="0"/>
    <n v="51"/>
    <x v="2"/>
    <x v="1"/>
  </r>
  <r>
    <n v="19608"/>
    <x v="0"/>
    <x v="1"/>
    <n v="80000"/>
    <n v="5"/>
    <x v="0"/>
    <x v="2"/>
    <x v="0"/>
    <n v="4"/>
    <s v="1-2 Miles"/>
    <x v="1"/>
    <n v="40"/>
    <x v="0"/>
    <x v="0"/>
  </r>
  <r>
    <n v="24119"/>
    <x v="1"/>
    <x v="1"/>
    <n v="30000"/>
    <n v="0"/>
    <x v="1"/>
    <x v="1"/>
    <x v="1"/>
    <n v="1"/>
    <s v="2-5 Miles"/>
    <x v="0"/>
    <n v="29"/>
    <x v="3"/>
    <x v="0"/>
  </r>
  <r>
    <n v="25458"/>
    <x v="0"/>
    <x v="1"/>
    <n v="20000"/>
    <n v="1"/>
    <x v="2"/>
    <x v="3"/>
    <x v="1"/>
    <n v="1"/>
    <s v="1-2 Miles"/>
    <x v="0"/>
    <n v="40"/>
    <x v="0"/>
    <x v="1"/>
  </r>
  <r>
    <n v="26886"/>
    <x v="1"/>
    <x v="0"/>
    <n v="30000"/>
    <n v="0"/>
    <x v="1"/>
    <x v="1"/>
    <x v="1"/>
    <n v="1"/>
    <s v="0-1 Miles"/>
    <x v="0"/>
    <n v="29"/>
    <x v="3"/>
    <x v="1"/>
  </r>
  <r>
    <n v="28436"/>
    <x v="1"/>
    <x v="1"/>
    <n v="30000"/>
    <n v="0"/>
    <x v="1"/>
    <x v="1"/>
    <x v="1"/>
    <n v="1"/>
    <s v="0-1 Miles"/>
    <x v="0"/>
    <n v="30"/>
    <x v="3"/>
    <x v="1"/>
  </r>
  <r>
    <n v="19562"/>
    <x v="1"/>
    <x v="0"/>
    <n v="60000"/>
    <n v="2"/>
    <x v="0"/>
    <x v="2"/>
    <x v="0"/>
    <n v="1"/>
    <s v="2-5 Miles"/>
    <x v="1"/>
    <n v="37"/>
    <x v="0"/>
    <x v="1"/>
  </r>
  <r>
    <n v="15608"/>
    <x v="1"/>
    <x v="0"/>
    <n v="30000"/>
    <n v="0"/>
    <x v="1"/>
    <x v="1"/>
    <x v="1"/>
    <n v="1"/>
    <s v="2-5 Miles"/>
    <x v="0"/>
    <n v="33"/>
    <x v="3"/>
    <x v="0"/>
  </r>
  <r>
    <n v="16487"/>
    <x v="1"/>
    <x v="0"/>
    <n v="30000"/>
    <n v="3"/>
    <x v="2"/>
    <x v="0"/>
    <x v="0"/>
    <n v="2"/>
    <s v="5-10 Miles"/>
    <x v="1"/>
    <n v="55"/>
    <x v="2"/>
    <x v="0"/>
  </r>
  <r>
    <n v="17197"/>
    <x v="1"/>
    <x v="0"/>
    <n v="90000"/>
    <n v="5"/>
    <x v="1"/>
    <x v="2"/>
    <x v="0"/>
    <n v="2"/>
    <s v="10+ Miles"/>
    <x v="0"/>
    <n v="62"/>
    <x v="1"/>
    <x v="0"/>
  </r>
  <r>
    <n v="12507"/>
    <x v="0"/>
    <x v="1"/>
    <n v="30000"/>
    <n v="1"/>
    <x v="1"/>
    <x v="1"/>
    <x v="0"/>
    <n v="1"/>
    <s v="0-1 Miles"/>
    <x v="0"/>
    <n v="43"/>
    <x v="0"/>
    <x v="0"/>
  </r>
  <r>
    <n v="23940"/>
    <x v="0"/>
    <x v="1"/>
    <n v="40000"/>
    <n v="1"/>
    <x v="0"/>
    <x v="0"/>
    <x v="0"/>
    <n v="1"/>
    <s v="0-1 Miles"/>
    <x v="0"/>
    <n v="44"/>
    <x v="0"/>
    <x v="1"/>
  </r>
  <r>
    <n v="19441"/>
    <x v="0"/>
    <x v="1"/>
    <n v="40000"/>
    <n v="0"/>
    <x v="4"/>
    <x v="1"/>
    <x v="0"/>
    <n v="0"/>
    <s v="0-1 Miles"/>
    <x v="0"/>
    <n v="25"/>
    <x v="3"/>
    <x v="1"/>
  </r>
  <r>
    <n v="26852"/>
    <x v="0"/>
    <x v="0"/>
    <n v="20000"/>
    <n v="3"/>
    <x v="2"/>
    <x v="3"/>
    <x v="0"/>
    <n v="2"/>
    <s v="0-1 Miles"/>
    <x v="0"/>
    <n v="43"/>
    <x v="0"/>
    <x v="0"/>
  </r>
  <r>
    <n v="12274"/>
    <x v="1"/>
    <x v="1"/>
    <n v="10000"/>
    <n v="2"/>
    <x v="2"/>
    <x v="3"/>
    <x v="0"/>
    <n v="0"/>
    <s v="0-1 Miles"/>
    <x v="0"/>
    <n v="35"/>
    <x v="3"/>
    <x v="0"/>
  </r>
  <r>
    <n v="20236"/>
    <x v="1"/>
    <x v="1"/>
    <n v="60000"/>
    <n v="3"/>
    <x v="0"/>
    <x v="2"/>
    <x v="1"/>
    <n v="2"/>
    <s v="0-1 Miles"/>
    <x v="1"/>
    <n v="43"/>
    <x v="0"/>
    <x v="1"/>
  </r>
  <r>
    <n v="24149"/>
    <x v="0"/>
    <x v="1"/>
    <n v="10000"/>
    <n v="2"/>
    <x v="1"/>
    <x v="3"/>
    <x v="0"/>
    <n v="0"/>
    <s v="1-2 Miles"/>
    <x v="0"/>
    <n v="49"/>
    <x v="2"/>
    <x v="0"/>
  </r>
  <r>
    <n v="26139"/>
    <x v="1"/>
    <x v="1"/>
    <n v="60000"/>
    <n v="1"/>
    <x v="1"/>
    <x v="0"/>
    <x v="0"/>
    <n v="1"/>
    <s v="5-10 Miles"/>
    <x v="1"/>
    <n v="45"/>
    <x v="0"/>
    <x v="0"/>
  </r>
  <r>
    <n v="18491"/>
    <x v="1"/>
    <x v="0"/>
    <n v="70000"/>
    <n v="2"/>
    <x v="2"/>
    <x v="2"/>
    <x v="0"/>
    <n v="2"/>
    <s v="5-10 Miles"/>
    <x v="1"/>
    <n v="49"/>
    <x v="2"/>
    <x v="1"/>
  </r>
  <r>
    <n v="22707"/>
    <x v="1"/>
    <x v="0"/>
    <n v="30000"/>
    <n v="0"/>
    <x v="1"/>
    <x v="1"/>
    <x v="1"/>
    <n v="1"/>
    <s v="2-5 Miles"/>
    <x v="0"/>
    <n v="30"/>
    <x v="3"/>
    <x v="0"/>
  </r>
  <r>
    <n v="20430"/>
    <x v="0"/>
    <x v="1"/>
    <n v="70000"/>
    <n v="2"/>
    <x v="1"/>
    <x v="0"/>
    <x v="0"/>
    <n v="2"/>
    <s v="5-10 Miles"/>
    <x v="1"/>
    <n v="52"/>
    <x v="2"/>
    <x v="1"/>
  </r>
  <r>
    <n v="27494"/>
    <x v="1"/>
    <x v="0"/>
    <n v="40000"/>
    <n v="2"/>
    <x v="1"/>
    <x v="0"/>
    <x v="1"/>
    <n v="2"/>
    <s v="1-2 Miles"/>
    <x v="1"/>
    <n v="53"/>
    <x v="2"/>
    <x v="1"/>
  </r>
  <r>
    <n v="26829"/>
    <x v="0"/>
    <x v="0"/>
    <n v="40000"/>
    <n v="0"/>
    <x v="0"/>
    <x v="1"/>
    <x v="0"/>
    <n v="0"/>
    <s v="0-1 Miles"/>
    <x v="0"/>
    <n v="38"/>
    <x v="0"/>
    <x v="1"/>
  </r>
  <r>
    <n v="28395"/>
    <x v="1"/>
    <x v="1"/>
    <n v="40000"/>
    <n v="0"/>
    <x v="0"/>
    <x v="2"/>
    <x v="1"/>
    <n v="0"/>
    <s v="0-1 Miles"/>
    <x v="0"/>
    <n v="39"/>
    <x v="0"/>
    <x v="1"/>
  </r>
  <r>
    <n v="21006"/>
    <x v="1"/>
    <x v="0"/>
    <n v="30000"/>
    <n v="1"/>
    <x v="1"/>
    <x v="3"/>
    <x v="1"/>
    <n v="0"/>
    <s v="0-1 Miles"/>
    <x v="0"/>
    <n v="46"/>
    <x v="2"/>
    <x v="1"/>
  </r>
  <r>
    <n v="14682"/>
    <x v="1"/>
    <x v="0"/>
    <n v="70000"/>
    <n v="0"/>
    <x v="0"/>
    <x v="2"/>
    <x v="1"/>
    <n v="1"/>
    <s v="5-10 Miles"/>
    <x v="1"/>
    <n v="38"/>
    <x v="0"/>
    <x v="0"/>
  </r>
  <r>
    <n v="17650"/>
    <x v="1"/>
    <x v="0"/>
    <n v="40000"/>
    <n v="2"/>
    <x v="1"/>
    <x v="1"/>
    <x v="0"/>
    <n v="2"/>
    <s v="1-2 Miles"/>
    <x v="0"/>
    <n v="35"/>
    <x v="3"/>
    <x v="0"/>
  </r>
  <r>
    <n v="29191"/>
    <x v="1"/>
    <x v="0"/>
    <n v="130000"/>
    <n v="1"/>
    <x v="4"/>
    <x v="4"/>
    <x v="1"/>
    <n v="1"/>
    <s v="0-1 Miles"/>
    <x v="1"/>
    <n v="36"/>
    <x v="0"/>
    <x v="1"/>
  </r>
  <r>
    <n v="15030"/>
    <x v="0"/>
    <x v="1"/>
    <n v="20000"/>
    <n v="0"/>
    <x v="0"/>
    <x v="1"/>
    <x v="0"/>
    <n v="0"/>
    <s v="0-1 Miles"/>
    <x v="1"/>
    <n v="26"/>
    <x v="3"/>
    <x v="1"/>
  </r>
  <r>
    <n v="24140"/>
    <x v="1"/>
    <x v="1"/>
    <n v="10000"/>
    <n v="0"/>
    <x v="4"/>
    <x v="3"/>
    <x v="1"/>
    <n v="0"/>
    <s v="0-1 Miles"/>
    <x v="0"/>
    <n v="30"/>
    <x v="3"/>
    <x v="1"/>
  </r>
  <r>
    <n v="22496"/>
    <x v="0"/>
    <x v="0"/>
    <n v="30000"/>
    <n v="1"/>
    <x v="0"/>
    <x v="0"/>
    <x v="0"/>
    <n v="2"/>
    <s v="0-1 Miles"/>
    <x v="0"/>
    <n v="42"/>
    <x v="0"/>
    <x v="0"/>
  </r>
  <r>
    <n v="24065"/>
    <x v="1"/>
    <x v="0"/>
    <n v="20000"/>
    <n v="0"/>
    <x v="2"/>
    <x v="3"/>
    <x v="0"/>
    <n v="0"/>
    <s v="0-1 Miles"/>
    <x v="0"/>
    <n v="40"/>
    <x v="0"/>
    <x v="1"/>
  </r>
  <r>
    <n v="19914"/>
    <x v="0"/>
    <x v="1"/>
    <n v="80000"/>
    <n v="5"/>
    <x v="0"/>
    <x v="4"/>
    <x v="0"/>
    <n v="2"/>
    <s v="2-5 Miles"/>
    <x v="0"/>
    <n v="62"/>
    <x v="1"/>
    <x v="0"/>
  </r>
  <r>
    <n v="12871"/>
    <x v="1"/>
    <x v="0"/>
    <n v="30000"/>
    <n v="0"/>
    <x v="1"/>
    <x v="1"/>
    <x v="1"/>
    <n v="1"/>
    <s v="2-5 Miles"/>
    <x v="0"/>
    <n v="29"/>
    <x v="3"/>
    <x v="0"/>
  </r>
  <r>
    <n v="22988"/>
    <x v="0"/>
    <x v="0"/>
    <n v="40000"/>
    <n v="2"/>
    <x v="0"/>
    <x v="4"/>
    <x v="0"/>
    <n v="2"/>
    <s v="5-10 Miles"/>
    <x v="1"/>
    <n v="66"/>
    <x v="4"/>
    <x v="1"/>
  </r>
  <r>
    <n v="15922"/>
    <x v="0"/>
    <x v="1"/>
    <n v="150000"/>
    <n v="2"/>
    <x v="2"/>
    <x v="2"/>
    <x v="0"/>
    <n v="4"/>
    <s v="0-1 Miles"/>
    <x v="0"/>
    <n v="48"/>
    <x v="2"/>
    <x v="0"/>
  </r>
  <r>
    <n v="12344"/>
    <x v="1"/>
    <x v="0"/>
    <n v="80000"/>
    <n v="0"/>
    <x v="0"/>
    <x v="2"/>
    <x v="1"/>
    <n v="3"/>
    <s v="10+ Miles"/>
    <x v="1"/>
    <n v="31"/>
    <x v="3"/>
    <x v="0"/>
  </r>
  <r>
    <n v="23627"/>
    <x v="1"/>
    <x v="0"/>
    <n v="100000"/>
    <n v="3"/>
    <x v="1"/>
    <x v="4"/>
    <x v="1"/>
    <n v="4"/>
    <s v="5-10 Miles"/>
    <x v="0"/>
    <n v="56"/>
    <x v="1"/>
    <x v="0"/>
  </r>
  <r>
    <n v="27775"/>
    <x v="1"/>
    <x v="0"/>
    <n v="40000"/>
    <n v="0"/>
    <x v="0"/>
    <x v="1"/>
    <x v="1"/>
    <n v="0"/>
    <s v="0-1 Miles"/>
    <x v="0"/>
    <n v="38"/>
    <x v="0"/>
    <x v="1"/>
  </r>
  <r>
    <n v="29301"/>
    <x v="0"/>
    <x v="1"/>
    <n v="80000"/>
    <n v="5"/>
    <x v="0"/>
    <x v="2"/>
    <x v="0"/>
    <n v="4"/>
    <s v="1-2 Miles"/>
    <x v="1"/>
    <n v="40"/>
    <x v="0"/>
    <x v="0"/>
  </r>
  <r>
    <n v="12716"/>
    <x v="1"/>
    <x v="1"/>
    <n v="30000"/>
    <n v="0"/>
    <x v="1"/>
    <x v="1"/>
    <x v="0"/>
    <n v="1"/>
    <s v="2-5 Miles"/>
    <x v="0"/>
    <n v="32"/>
    <x v="3"/>
    <x v="0"/>
  </r>
  <r>
    <n v="12472"/>
    <x v="0"/>
    <x v="1"/>
    <n v="30000"/>
    <n v="1"/>
    <x v="0"/>
    <x v="1"/>
    <x v="0"/>
    <n v="1"/>
    <s v="2-5 Miles"/>
    <x v="0"/>
    <n v="39"/>
    <x v="0"/>
    <x v="0"/>
  </r>
  <r>
    <n v="20970"/>
    <x v="1"/>
    <x v="1"/>
    <n v="10000"/>
    <n v="2"/>
    <x v="1"/>
    <x v="3"/>
    <x v="0"/>
    <n v="1"/>
    <s v="0-1 Miles"/>
    <x v="0"/>
    <n v="52"/>
    <x v="2"/>
    <x v="1"/>
  </r>
  <r>
    <n v="26818"/>
    <x v="1"/>
    <x v="1"/>
    <n v="10000"/>
    <n v="3"/>
    <x v="2"/>
    <x v="3"/>
    <x v="0"/>
    <n v="1"/>
    <s v="0-1 Miles"/>
    <x v="0"/>
    <n v="39"/>
    <x v="0"/>
    <x v="1"/>
  </r>
  <r>
    <n v="12993"/>
    <x v="0"/>
    <x v="1"/>
    <n v="60000"/>
    <n v="2"/>
    <x v="0"/>
    <x v="2"/>
    <x v="0"/>
    <n v="1"/>
    <s v="2-5 Miles"/>
    <x v="1"/>
    <n v="37"/>
    <x v="0"/>
    <x v="0"/>
  </r>
  <r>
    <n v="14192"/>
    <x v="0"/>
    <x v="1"/>
    <n v="90000"/>
    <n v="4"/>
    <x v="2"/>
    <x v="4"/>
    <x v="0"/>
    <n v="3"/>
    <s v="5-10 Miles"/>
    <x v="0"/>
    <n v="56"/>
    <x v="1"/>
    <x v="1"/>
  </r>
  <r>
    <n v="19477"/>
    <x v="0"/>
    <x v="1"/>
    <n v="40000"/>
    <n v="0"/>
    <x v="0"/>
    <x v="2"/>
    <x v="0"/>
    <n v="0"/>
    <s v="0-1 Miles"/>
    <x v="0"/>
    <n v="40"/>
    <x v="0"/>
    <x v="1"/>
  </r>
  <r>
    <n v="26796"/>
    <x v="1"/>
    <x v="1"/>
    <n v="40000"/>
    <n v="2"/>
    <x v="0"/>
    <x v="4"/>
    <x v="0"/>
    <n v="2"/>
    <s v="5-10 Miles"/>
    <x v="1"/>
    <n v="65"/>
    <x v="1"/>
    <x v="1"/>
  </r>
  <r>
    <n v="21094"/>
    <x v="1"/>
    <x v="0"/>
    <n v="30000"/>
    <n v="2"/>
    <x v="1"/>
    <x v="1"/>
    <x v="0"/>
    <n v="2"/>
    <s v="0-1 Miles"/>
    <x v="0"/>
    <n v="42"/>
    <x v="0"/>
    <x v="0"/>
  </r>
  <r>
    <n v="12234"/>
    <x v="0"/>
    <x v="1"/>
    <n v="10000"/>
    <n v="2"/>
    <x v="1"/>
    <x v="3"/>
    <x v="0"/>
    <n v="1"/>
    <s v="2-5 Miles"/>
    <x v="0"/>
    <n v="52"/>
    <x v="2"/>
    <x v="0"/>
  </r>
  <r>
    <n v="28683"/>
    <x v="1"/>
    <x v="0"/>
    <n v="10000"/>
    <n v="1"/>
    <x v="2"/>
    <x v="3"/>
    <x v="1"/>
    <n v="1"/>
    <s v="5-10 Miles"/>
    <x v="0"/>
    <n v="35"/>
    <x v="3"/>
    <x v="1"/>
  </r>
  <r>
    <n v="17994"/>
    <x v="1"/>
    <x v="1"/>
    <n v="20000"/>
    <n v="2"/>
    <x v="2"/>
    <x v="3"/>
    <x v="0"/>
    <n v="2"/>
    <s v="0-1 Miles"/>
    <x v="0"/>
    <n v="42"/>
    <x v="0"/>
    <x v="0"/>
  </r>
  <r>
    <n v="24273"/>
    <x v="0"/>
    <x v="0"/>
    <n v="20000"/>
    <n v="2"/>
    <x v="3"/>
    <x v="1"/>
    <x v="0"/>
    <n v="2"/>
    <s v="5-10 Miles"/>
    <x v="1"/>
    <n v="55"/>
    <x v="2"/>
    <x v="1"/>
  </r>
  <r>
    <n v="26547"/>
    <x v="1"/>
    <x v="0"/>
    <n v="30000"/>
    <n v="2"/>
    <x v="1"/>
    <x v="1"/>
    <x v="1"/>
    <n v="2"/>
    <s v="5-10 Miles"/>
    <x v="1"/>
    <n v="60"/>
    <x v="1"/>
    <x v="1"/>
  </r>
  <r>
    <n v="22500"/>
    <x v="1"/>
    <x v="1"/>
    <n v="40000"/>
    <n v="0"/>
    <x v="0"/>
    <x v="2"/>
    <x v="1"/>
    <n v="0"/>
    <s v="0-1 Miles"/>
    <x v="0"/>
    <n v="40"/>
    <x v="0"/>
    <x v="1"/>
  </r>
  <r>
    <n v="23993"/>
    <x v="1"/>
    <x v="0"/>
    <n v="10000"/>
    <n v="0"/>
    <x v="1"/>
    <x v="3"/>
    <x v="1"/>
    <n v="1"/>
    <s v="0-1 Miles"/>
    <x v="1"/>
    <n v="26"/>
    <x v="3"/>
    <x v="1"/>
  </r>
  <r>
    <n v="14832"/>
    <x v="0"/>
    <x v="1"/>
    <n v="40000"/>
    <n v="1"/>
    <x v="0"/>
    <x v="0"/>
    <x v="0"/>
    <n v="0"/>
    <s v="0-1 Miles"/>
    <x v="0"/>
    <n v="42"/>
    <x v="0"/>
    <x v="1"/>
  </r>
  <r>
    <n v="16614"/>
    <x v="0"/>
    <x v="0"/>
    <n v="80000"/>
    <n v="0"/>
    <x v="0"/>
    <x v="2"/>
    <x v="0"/>
    <n v="3"/>
    <s v="10+ Miles"/>
    <x v="1"/>
    <n v="32"/>
    <x v="3"/>
    <x v="0"/>
  </r>
  <r>
    <n v="20877"/>
    <x v="1"/>
    <x v="1"/>
    <n v="30000"/>
    <n v="1"/>
    <x v="0"/>
    <x v="1"/>
    <x v="0"/>
    <n v="0"/>
    <s v="1-2 Miles"/>
    <x v="0"/>
    <n v="37"/>
    <x v="0"/>
    <x v="1"/>
  </r>
  <r>
    <n v="20729"/>
    <x v="0"/>
    <x v="0"/>
    <n v="40000"/>
    <n v="2"/>
    <x v="1"/>
    <x v="1"/>
    <x v="1"/>
    <n v="1"/>
    <s v="0-1 Miles"/>
    <x v="0"/>
    <n v="34"/>
    <x v="3"/>
    <x v="0"/>
  </r>
  <r>
    <n v="22464"/>
    <x v="0"/>
    <x v="1"/>
    <n v="40000"/>
    <n v="0"/>
    <x v="4"/>
    <x v="1"/>
    <x v="0"/>
    <n v="0"/>
    <s v="0-1 Miles"/>
    <x v="0"/>
    <n v="37"/>
    <x v="0"/>
    <x v="1"/>
  </r>
  <r>
    <n v="19475"/>
    <x v="0"/>
    <x v="0"/>
    <n v="40000"/>
    <n v="0"/>
    <x v="0"/>
    <x v="2"/>
    <x v="1"/>
    <n v="0"/>
    <s v="0-1 Miles"/>
    <x v="0"/>
    <n v="40"/>
    <x v="0"/>
    <x v="1"/>
  </r>
  <r>
    <n v="19675"/>
    <x v="0"/>
    <x v="1"/>
    <n v="20000"/>
    <n v="4"/>
    <x v="2"/>
    <x v="0"/>
    <x v="0"/>
    <n v="2"/>
    <s v="5-10 Miles"/>
    <x v="1"/>
    <n v="60"/>
    <x v="1"/>
    <x v="0"/>
  </r>
  <r>
    <n v="12728"/>
    <x v="1"/>
    <x v="1"/>
    <n v="30000"/>
    <n v="0"/>
    <x v="1"/>
    <x v="1"/>
    <x v="1"/>
    <n v="1"/>
    <s v="1-2 Miles"/>
    <x v="0"/>
    <n v="27"/>
    <x v="3"/>
    <x v="0"/>
  </r>
  <r>
    <n v="26154"/>
    <x v="0"/>
    <x v="1"/>
    <n v="60000"/>
    <n v="1"/>
    <x v="1"/>
    <x v="0"/>
    <x v="0"/>
    <n v="1"/>
    <s v="5-10 Miles"/>
    <x v="1"/>
    <n v="43"/>
    <x v="0"/>
    <x v="1"/>
  </r>
  <r>
    <n v="29117"/>
    <x v="1"/>
    <x v="1"/>
    <n v="100000"/>
    <n v="1"/>
    <x v="0"/>
    <x v="4"/>
    <x v="1"/>
    <n v="3"/>
    <s v="0-1 Miles"/>
    <x v="1"/>
    <n v="48"/>
    <x v="2"/>
    <x v="0"/>
  </r>
  <r>
    <n v="17845"/>
    <x v="1"/>
    <x v="0"/>
    <n v="20000"/>
    <n v="0"/>
    <x v="3"/>
    <x v="3"/>
    <x v="1"/>
    <n v="2"/>
    <s v="1-2 Miles"/>
    <x v="0"/>
    <n v="32"/>
    <x v="3"/>
    <x v="0"/>
  </r>
  <r>
    <n v="25058"/>
    <x v="0"/>
    <x v="1"/>
    <n v="100000"/>
    <n v="1"/>
    <x v="0"/>
    <x v="4"/>
    <x v="0"/>
    <n v="3"/>
    <s v="2-5 Miles"/>
    <x v="1"/>
    <n v="47"/>
    <x v="2"/>
    <x v="0"/>
  </r>
  <r>
    <n v="23426"/>
    <x v="1"/>
    <x v="1"/>
    <n v="80000"/>
    <n v="5"/>
    <x v="4"/>
    <x v="4"/>
    <x v="0"/>
    <n v="3"/>
    <s v="0-1 Miles"/>
    <x v="1"/>
    <n v="40"/>
    <x v="0"/>
    <x v="0"/>
  </r>
  <r>
    <n v="14798"/>
    <x v="1"/>
    <x v="0"/>
    <n v="10000"/>
    <n v="4"/>
    <x v="3"/>
    <x v="3"/>
    <x v="0"/>
    <n v="2"/>
    <s v="0-1 Miles"/>
    <x v="0"/>
    <n v="41"/>
    <x v="0"/>
    <x v="1"/>
  </r>
  <r>
    <n v="12664"/>
    <x v="0"/>
    <x v="0"/>
    <n v="130000"/>
    <n v="5"/>
    <x v="1"/>
    <x v="2"/>
    <x v="0"/>
    <n v="4"/>
    <s v="0-1 Miles"/>
    <x v="0"/>
    <n v="59"/>
    <x v="1"/>
    <x v="0"/>
  </r>
  <r>
    <n v="23979"/>
    <x v="1"/>
    <x v="1"/>
    <n v="10000"/>
    <n v="2"/>
    <x v="1"/>
    <x v="3"/>
    <x v="1"/>
    <n v="0"/>
    <s v="0-1 Miles"/>
    <x v="0"/>
    <n v="50"/>
    <x v="2"/>
    <x v="0"/>
  </r>
  <r>
    <n v="25605"/>
    <x v="1"/>
    <x v="0"/>
    <n v="20000"/>
    <n v="2"/>
    <x v="1"/>
    <x v="3"/>
    <x v="1"/>
    <n v="1"/>
    <s v="0-1 Miles"/>
    <x v="0"/>
    <n v="54"/>
    <x v="2"/>
    <x v="1"/>
  </r>
  <r>
    <n v="20797"/>
    <x v="0"/>
    <x v="0"/>
    <n v="10000"/>
    <n v="1"/>
    <x v="0"/>
    <x v="3"/>
    <x v="0"/>
    <n v="0"/>
    <s v="0-1 Miles"/>
    <x v="0"/>
    <n v="48"/>
    <x v="2"/>
    <x v="0"/>
  </r>
  <r>
    <n v="21980"/>
    <x v="1"/>
    <x v="0"/>
    <n v="60000"/>
    <n v="1"/>
    <x v="0"/>
    <x v="2"/>
    <x v="0"/>
    <n v="1"/>
    <s v="5-10 Miles"/>
    <x v="1"/>
    <n v="44"/>
    <x v="0"/>
    <x v="1"/>
  </r>
  <r>
    <n v="25460"/>
    <x v="0"/>
    <x v="0"/>
    <n v="20000"/>
    <n v="2"/>
    <x v="2"/>
    <x v="3"/>
    <x v="0"/>
    <n v="0"/>
    <s v="0-1 Miles"/>
    <x v="0"/>
    <n v="40"/>
    <x v="0"/>
    <x v="1"/>
  </r>
  <r>
    <n v="29181"/>
    <x v="1"/>
    <x v="0"/>
    <n v="60000"/>
    <n v="2"/>
    <x v="0"/>
    <x v="2"/>
    <x v="1"/>
    <n v="1"/>
    <s v="0-1 Miles"/>
    <x v="1"/>
    <n v="38"/>
    <x v="0"/>
    <x v="1"/>
  </r>
  <r>
    <n v="24279"/>
    <x v="1"/>
    <x v="1"/>
    <n v="40000"/>
    <n v="2"/>
    <x v="1"/>
    <x v="0"/>
    <x v="1"/>
    <n v="2"/>
    <s v="1-2 Miles"/>
    <x v="1"/>
    <n v="52"/>
    <x v="2"/>
    <x v="0"/>
  </r>
  <r>
    <n v="22402"/>
    <x v="0"/>
    <x v="1"/>
    <n v="10000"/>
    <n v="0"/>
    <x v="1"/>
    <x v="3"/>
    <x v="0"/>
    <n v="1"/>
    <s v="2-5 Miles"/>
    <x v="1"/>
    <n v="25"/>
    <x v="3"/>
    <x v="1"/>
  </r>
  <r>
    <n v="15465"/>
    <x v="0"/>
    <x v="0"/>
    <n v="10000"/>
    <n v="0"/>
    <x v="1"/>
    <x v="3"/>
    <x v="1"/>
    <n v="1"/>
    <s v="0-1 Miles"/>
    <x v="1"/>
    <n v="25"/>
    <x v="3"/>
    <x v="0"/>
  </r>
  <r>
    <n v="26757"/>
    <x v="1"/>
    <x v="1"/>
    <n v="90000"/>
    <n v="1"/>
    <x v="0"/>
    <x v="2"/>
    <x v="0"/>
    <n v="1"/>
    <s v="2-5 Miles"/>
    <x v="1"/>
    <n v="47"/>
    <x v="2"/>
    <x v="1"/>
  </r>
  <r>
    <n v="14233"/>
    <x v="1"/>
    <x v="1"/>
    <n v="100000"/>
    <n v="0"/>
    <x v="2"/>
    <x v="4"/>
    <x v="0"/>
    <n v="3"/>
    <s v="10+ Miles"/>
    <x v="1"/>
    <n v="35"/>
    <x v="3"/>
    <x v="0"/>
  </r>
  <r>
    <n v="14058"/>
    <x v="1"/>
    <x v="1"/>
    <n v="70000"/>
    <n v="0"/>
    <x v="0"/>
    <x v="2"/>
    <x v="1"/>
    <n v="1"/>
    <s v="5-10 Miles"/>
    <x v="1"/>
    <n v="41"/>
    <x v="0"/>
    <x v="1"/>
  </r>
  <r>
    <n v="12273"/>
    <x v="0"/>
    <x v="1"/>
    <n v="30000"/>
    <n v="1"/>
    <x v="0"/>
    <x v="1"/>
    <x v="0"/>
    <n v="0"/>
    <s v="0-1 Miles"/>
    <x v="0"/>
    <n v="47"/>
    <x v="2"/>
    <x v="0"/>
  </r>
  <r>
    <n v="17203"/>
    <x v="0"/>
    <x v="0"/>
    <n v="130000"/>
    <n v="4"/>
    <x v="1"/>
    <x v="2"/>
    <x v="0"/>
    <n v="4"/>
    <s v="5-10 Miles"/>
    <x v="0"/>
    <n v="61"/>
    <x v="1"/>
    <x v="1"/>
  </r>
  <r>
    <n v="18144"/>
    <x v="0"/>
    <x v="0"/>
    <n v="80000"/>
    <n v="5"/>
    <x v="0"/>
    <x v="4"/>
    <x v="0"/>
    <n v="2"/>
    <s v="2-5 Miles"/>
    <x v="0"/>
    <n v="61"/>
    <x v="1"/>
    <x v="0"/>
  </r>
  <r>
    <n v="23963"/>
    <x v="0"/>
    <x v="1"/>
    <n v="10000"/>
    <n v="0"/>
    <x v="3"/>
    <x v="3"/>
    <x v="1"/>
    <n v="2"/>
    <s v="0-1 Miles"/>
    <x v="0"/>
    <n v="33"/>
    <x v="3"/>
    <x v="0"/>
  </r>
  <r>
    <n v="17907"/>
    <x v="0"/>
    <x v="0"/>
    <n v="10000"/>
    <n v="0"/>
    <x v="1"/>
    <x v="3"/>
    <x v="0"/>
    <n v="1"/>
    <s v="2-5 Miles"/>
    <x v="1"/>
    <n v="27"/>
    <x v="3"/>
    <x v="0"/>
  </r>
  <r>
    <n v="19442"/>
    <x v="1"/>
    <x v="1"/>
    <n v="50000"/>
    <n v="0"/>
    <x v="4"/>
    <x v="0"/>
    <x v="0"/>
    <n v="0"/>
    <s v="0-1 Miles"/>
    <x v="0"/>
    <n v="37"/>
    <x v="0"/>
    <x v="1"/>
  </r>
  <r>
    <n v="17504"/>
    <x v="1"/>
    <x v="0"/>
    <n v="80000"/>
    <n v="2"/>
    <x v="1"/>
    <x v="0"/>
    <x v="0"/>
    <n v="2"/>
    <s v="5-10 Miles"/>
    <x v="1"/>
    <n v="52"/>
    <x v="2"/>
    <x v="1"/>
  </r>
  <r>
    <n v="12253"/>
    <x v="1"/>
    <x v="0"/>
    <n v="20000"/>
    <n v="0"/>
    <x v="1"/>
    <x v="3"/>
    <x v="0"/>
    <n v="0"/>
    <s v="0-1 Miles"/>
    <x v="1"/>
    <n v="29"/>
    <x v="3"/>
    <x v="1"/>
  </r>
  <r>
    <n v="27304"/>
    <x v="1"/>
    <x v="0"/>
    <n v="110000"/>
    <n v="2"/>
    <x v="1"/>
    <x v="2"/>
    <x v="1"/>
    <n v="3"/>
    <s v="5-10 Miles"/>
    <x v="0"/>
    <n v="48"/>
    <x v="2"/>
    <x v="0"/>
  </r>
  <r>
    <n v="14191"/>
    <x v="0"/>
    <x v="1"/>
    <n v="160000"/>
    <n v="4"/>
    <x v="1"/>
    <x v="2"/>
    <x v="1"/>
    <n v="2"/>
    <s v="10+ Miles"/>
    <x v="0"/>
    <n v="55"/>
    <x v="2"/>
    <x v="1"/>
  </r>
  <r>
    <n v="12212"/>
    <x v="0"/>
    <x v="0"/>
    <n v="10000"/>
    <n v="0"/>
    <x v="4"/>
    <x v="3"/>
    <x v="0"/>
    <n v="0"/>
    <s v="0-1 Miles"/>
    <x v="0"/>
    <n v="37"/>
    <x v="0"/>
    <x v="1"/>
  </r>
  <r>
    <n v="25529"/>
    <x v="1"/>
    <x v="1"/>
    <n v="10000"/>
    <n v="1"/>
    <x v="4"/>
    <x v="3"/>
    <x v="0"/>
    <n v="0"/>
    <s v="0-1 Miles"/>
    <x v="0"/>
    <n v="44"/>
    <x v="0"/>
    <x v="0"/>
  </r>
  <r>
    <n v="22170"/>
    <x v="0"/>
    <x v="0"/>
    <n v="30000"/>
    <n v="3"/>
    <x v="1"/>
    <x v="1"/>
    <x v="1"/>
    <n v="2"/>
    <s v="1-2 Miles"/>
    <x v="1"/>
    <n v="55"/>
    <x v="2"/>
    <x v="1"/>
  </r>
  <r>
    <n v="19445"/>
    <x v="0"/>
    <x v="0"/>
    <n v="10000"/>
    <n v="2"/>
    <x v="2"/>
    <x v="3"/>
    <x v="1"/>
    <n v="1"/>
    <s v="0-1 Miles"/>
    <x v="0"/>
    <n v="38"/>
    <x v="0"/>
    <x v="0"/>
  </r>
  <r>
    <n v="15265"/>
    <x v="1"/>
    <x v="1"/>
    <n v="40000"/>
    <n v="2"/>
    <x v="0"/>
    <x v="4"/>
    <x v="0"/>
    <n v="2"/>
    <s v="5-10 Miles"/>
    <x v="1"/>
    <n v="66"/>
    <x v="4"/>
    <x v="1"/>
  </r>
  <r>
    <n v="28918"/>
    <x v="0"/>
    <x v="0"/>
    <n v="130000"/>
    <n v="4"/>
    <x v="2"/>
    <x v="4"/>
    <x v="1"/>
    <n v="4"/>
    <s v="10+ Miles"/>
    <x v="0"/>
    <n v="58"/>
    <x v="1"/>
    <x v="0"/>
  </r>
  <r>
    <n v="15799"/>
    <x v="0"/>
    <x v="0"/>
    <n v="90000"/>
    <n v="1"/>
    <x v="0"/>
    <x v="2"/>
    <x v="0"/>
    <n v="1"/>
    <s v="2-5 Miles"/>
    <x v="1"/>
    <n v="47"/>
    <x v="2"/>
    <x v="1"/>
  </r>
  <r>
    <n v="11047"/>
    <x v="0"/>
    <x v="0"/>
    <n v="30000"/>
    <n v="3"/>
    <x v="2"/>
    <x v="0"/>
    <x v="1"/>
    <n v="2"/>
    <s v="1-2 Miles"/>
    <x v="1"/>
    <n v="56"/>
    <x v="1"/>
    <x v="1"/>
  </r>
  <r>
    <n v="18151"/>
    <x v="1"/>
    <x v="1"/>
    <n v="80000"/>
    <n v="5"/>
    <x v="1"/>
    <x v="2"/>
    <x v="1"/>
    <n v="2"/>
    <s v="10+ Miles"/>
    <x v="0"/>
    <n v="59"/>
    <x v="1"/>
    <x v="0"/>
  </r>
  <r>
    <n v="20606"/>
    <x v="0"/>
    <x v="0"/>
    <n v="70000"/>
    <n v="0"/>
    <x v="0"/>
    <x v="2"/>
    <x v="0"/>
    <n v="4"/>
    <s v="10+ Miles"/>
    <x v="1"/>
    <n v="32"/>
    <x v="3"/>
    <x v="1"/>
  </r>
  <r>
    <n v="19482"/>
    <x v="0"/>
    <x v="1"/>
    <n v="30000"/>
    <n v="1"/>
    <x v="1"/>
    <x v="1"/>
    <x v="0"/>
    <n v="1"/>
    <s v="0-1 Miles"/>
    <x v="0"/>
    <n v="44"/>
    <x v="0"/>
    <x v="1"/>
  </r>
  <r>
    <n v="16489"/>
    <x v="0"/>
    <x v="1"/>
    <n v="30000"/>
    <n v="3"/>
    <x v="2"/>
    <x v="0"/>
    <x v="0"/>
    <n v="2"/>
    <s v="5-10 Miles"/>
    <x v="1"/>
    <n v="55"/>
    <x v="2"/>
    <x v="0"/>
  </r>
  <r>
    <n v="26944"/>
    <x v="1"/>
    <x v="1"/>
    <n v="90000"/>
    <n v="2"/>
    <x v="2"/>
    <x v="3"/>
    <x v="0"/>
    <n v="0"/>
    <s v="0-1 Miles"/>
    <x v="0"/>
    <n v="36"/>
    <x v="0"/>
    <x v="1"/>
  </r>
  <r>
    <n v="15682"/>
    <x v="1"/>
    <x v="0"/>
    <n v="80000"/>
    <n v="5"/>
    <x v="0"/>
    <x v="4"/>
    <x v="0"/>
    <n v="2"/>
    <s v="10+ Miles"/>
    <x v="0"/>
    <n v="62"/>
    <x v="1"/>
    <x v="0"/>
  </r>
  <r>
    <n v="26032"/>
    <x v="0"/>
    <x v="0"/>
    <n v="70000"/>
    <n v="5"/>
    <x v="0"/>
    <x v="2"/>
    <x v="0"/>
    <n v="4"/>
    <s v="10+ Miles"/>
    <x v="1"/>
    <n v="41"/>
    <x v="0"/>
    <x v="0"/>
  </r>
  <r>
    <n v="17843"/>
    <x v="1"/>
    <x v="0"/>
    <n v="10000"/>
    <n v="0"/>
    <x v="3"/>
    <x v="3"/>
    <x v="1"/>
    <n v="2"/>
    <s v="0-1 Miles"/>
    <x v="0"/>
    <n v="32"/>
    <x v="3"/>
    <x v="0"/>
  </r>
  <r>
    <n v="25559"/>
    <x v="1"/>
    <x v="1"/>
    <n v="20000"/>
    <n v="0"/>
    <x v="0"/>
    <x v="1"/>
    <x v="0"/>
    <n v="0"/>
    <s v="0-1 Miles"/>
    <x v="1"/>
    <n v="25"/>
    <x v="3"/>
    <x v="1"/>
  </r>
  <r>
    <n v="16209"/>
    <x v="1"/>
    <x v="0"/>
    <n v="50000"/>
    <n v="0"/>
    <x v="4"/>
    <x v="0"/>
    <x v="0"/>
    <n v="0"/>
    <s v="1-2 Miles"/>
    <x v="0"/>
    <n v="36"/>
    <x v="0"/>
    <x v="0"/>
  </r>
  <r>
    <n v="11147"/>
    <x v="0"/>
    <x v="1"/>
    <n v="60000"/>
    <n v="2"/>
    <x v="4"/>
    <x v="4"/>
    <x v="0"/>
    <n v="1"/>
    <s v="0-1 Miles"/>
    <x v="1"/>
    <n v="67"/>
    <x v="4"/>
    <x v="1"/>
  </r>
  <r>
    <n v="15214"/>
    <x v="1"/>
    <x v="0"/>
    <n v="100000"/>
    <n v="0"/>
    <x v="4"/>
    <x v="4"/>
    <x v="1"/>
    <n v="1"/>
    <s v="1-2 Miles"/>
    <x v="1"/>
    <n v="39"/>
    <x v="0"/>
    <x v="1"/>
  </r>
  <r>
    <n v="11453"/>
    <x v="1"/>
    <x v="1"/>
    <n v="80000"/>
    <n v="0"/>
    <x v="0"/>
    <x v="2"/>
    <x v="1"/>
    <n v="3"/>
    <s v="10+ Miles"/>
    <x v="1"/>
    <n v="33"/>
    <x v="3"/>
    <x v="1"/>
  </r>
  <r>
    <n v="24584"/>
    <x v="1"/>
    <x v="1"/>
    <n v="60000"/>
    <n v="0"/>
    <x v="0"/>
    <x v="2"/>
    <x v="1"/>
    <n v="3"/>
    <s v="2-5 Miles"/>
    <x v="1"/>
    <n v="31"/>
    <x v="3"/>
    <x v="0"/>
  </r>
  <r>
    <n v="12585"/>
    <x v="0"/>
    <x v="1"/>
    <n v="10000"/>
    <n v="1"/>
    <x v="2"/>
    <x v="3"/>
    <x v="0"/>
    <n v="0"/>
    <s v="2-5 Miles"/>
    <x v="1"/>
    <n v="27"/>
    <x v="3"/>
    <x v="1"/>
  </r>
  <r>
    <n v="18626"/>
    <x v="1"/>
    <x v="1"/>
    <n v="40000"/>
    <n v="2"/>
    <x v="1"/>
    <x v="1"/>
    <x v="0"/>
    <n v="0"/>
    <s v="1-2 Miles"/>
    <x v="0"/>
    <n v="33"/>
    <x v="3"/>
    <x v="1"/>
  </r>
  <r>
    <n v="29298"/>
    <x v="1"/>
    <x v="0"/>
    <n v="60000"/>
    <n v="1"/>
    <x v="1"/>
    <x v="0"/>
    <x v="0"/>
    <n v="1"/>
    <s v="5-10 Miles"/>
    <x v="1"/>
    <n v="46"/>
    <x v="2"/>
    <x v="1"/>
  </r>
  <r>
    <n v="24842"/>
    <x v="1"/>
    <x v="0"/>
    <n v="90000"/>
    <n v="3"/>
    <x v="2"/>
    <x v="2"/>
    <x v="1"/>
    <n v="1"/>
    <s v="2-5 Miles"/>
    <x v="0"/>
    <n v="51"/>
    <x v="2"/>
    <x v="0"/>
  </r>
  <r>
    <n v="15657"/>
    <x v="0"/>
    <x v="1"/>
    <n v="30000"/>
    <n v="3"/>
    <x v="4"/>
    <x v="1"/>
    <x v="0"/>
    <n v="0"/>
    <s v="0-1 Miles"/>
    <x v="0"/>
    <n v="46"/>
    <x v="2"/>
    <x v="1"/>
  </r>
  <r>
    <n v="11415"/>
    <x v="1"/>
    <x v="1"/>
    <n v="90000"/>
    <n v="5"/>
    <x v="1"/>
    <x v="2"/>
    <x v="1"/>
    <n v="2"/>
    <s v="10+ Miles"/>
    <x v="0"/>
    <n v="62"/>
    <x v="1"/>
    <x v="0"/>
  </r>
  <r>
    <n v="28729"/>
    <x v="1"/>
    <x v="0"/>
    <n v="20000"/>
    <n v="0"/>
    <x v="3"/>
    <x v="3"/>
    <x v="0"/>
    <n v="2"/>
    <s v="1-2 Miles"/>
    <x v="0"/>
    <n v="26"/>
    <x v="3"/>
    <x v="1"/>
  </r>
  <r>
    <n v="22633"/>
    <x v="1"/>
    <x v="0"/>
    <n v="40000"/>
    <n v="0"/>
    <x v="4"/>
    <x v="1"/>
    <x v="0"/>
    <n v="0"/>
    <s v="0-1 Miles"/>
    <x v="0"/>
    <n v="37"/>
    <x v="0"/>
    <x v="1"/>
  </r>
  <r>
    <n v="25649"/>
    <x v="1"/>
    <x v="0"/>
    <n v="30000"/>
    <n v="3"/>
    <x v="1"/>
    <x v="1"/>
    <x v="0"/>
    <n v="0"/>
    <s v="0-1 Miles"/>
    <x v="0"/>
    <n v="42"/>
    <x v="0"/>
    <x v="1"/>
  </r>
  <r>
    <n v="14669"/>
    <x v="0"/>
    <x v="0"/>
    <n v="80000"/>
    <n v="4"/>
    <x v="4"/>
    <x v="4"/>
    <x v="0"/>
    <n v="1"/>
    <s v="0-1 Miles"/>
    <x v="1"/>
    <n v="36"/>
    <x v="0"/>
    <x v="0"/>
  </r>
  <r>
    <n v="19299"/>
    <x v="0"/>
    <x v="0"/>
    <n v="50000"/>
    <n v="0"/>
    <x v="4"/>
    <x v="0"/>
    <x v="0"/>
    <n v="0"/>
    <s v="0-1 Miles"/>
    <x v="0"/>
    <n v="36"/>
    <x v="0"/>
    <x v="1"/>
  </r>
  <r>
    <n v="20946"/>
    <x v="1"/>
    <x v="0"/>
    <n v="30000"/>
    <n v="0"/>
    <x v="1"/>
    <x v="1"/>
    <x v="1"/>
    <n v="1"/>
    <s v="2-5 Miles"/>
    <x v="0"/>
    <n v="30"/>
    <x v="3"/>
    <x v="0"/>
  </r>
  <r>
    <n v="11451"/>
    <x v="1"/>
    <x v="1"/>
    <n v="70000"/>
    <n v="0"/>
    <x v="0"/>
    <x v="2"/>
    <x v="1"/>
    <n v="4"/>
    <s v="10+ Miles"/>
    <x v="1"/>
    <n v="31"/>
    <x v="3"/>
    <x v="1"/>
  </r>
  <r>
    <n v="25553"/>
    <x v="0"/>
    <x v="1"/>
    <n v="30000"/>
    <n v="1"/>
    <x v="0"/>
    <x v="1"/>
    <x v="0"/>
    <n v="0"/>
    <s v="0-1 Miles"/>
    <x v="0"/>
    <n v="65"/>
    <x v="1"/>
    <x v="1"/>
  </r>
  <r>
    <n v="27951"/>
    <x v="1"/>
    <x v="1"/>
    <n v="80000"/>
    <n v="4"/>
    <x v="1"/>
    <x v="2"/>
    <x v="1"/>
    <n v="2"/>
    <s v="2-5 Miles"/>
    <x v="0"/>
    <n v="54"/>
    <x v="2"/>
    <x v="1"/>
  </r>
  <r>
    <n v="25026"/>
    <x v="0"/>
    <x v="1"/>
    <n v="20000"/>
    <n v="2"/>
    <x v="3"/>
    <x v="1"/>
    <x v="0"/>
    <n v="3"/>
    <s v="5-10 Miles"/>
    <x v="1"/>
    <n v="54"/>
    <x v="2"/>
    <x v="0"/>
  </r>
  <r>
    <n v="13673"/>
    <x v="1"/>
    <x v="0"/>
    <n v="20000"/>
    <n v="0"/>
    <x v="3"/>
    <x v="3"/>
    <x v="1"/>
    <n v="2"/>
    <s v="0-1 Miles"/>
    <x v="0"/>
    <n v="25"/>
    <x v="3"/>
    <x v="0"/>
  </r>
  <r>
    <n v="16043"/>
    <x v="1"/>
    <x v="1"/>
    <n v="10000"/>
    <n v="1"/>
    <x v="0"/>
    <x v="3"/>
    <x v="0"/>
    <n v="0"/>
    <s v="0-1 Miles"/>
    <x v="0"/>
    <n v="48"/>
    <x v="2"/>
    <x v="0"/>
  </r>
  <r>
    <n v="22399"/>
    <x v="1"/>
    <x v="1"/>
    <n v="10000"/>
    <n v="0"/>
    <x v="1"/>
    <x v="3"/>
    <x v="0"/>
    <n v="1"/>
    <s v="1-2 Miles"/>
    <x v="1"/>
    <n v="26"/>
    <x v="3"/>
    <x v="1"/>
  </r>
  <r>
    <n v="27696"/>
    <x v="0"/>
    <x v="1"/>
    <n v="60000"/>
    <n v="1"/>
    <x v="0"/>
    <x v="2"/>
    <x v="0"/>
    <n v="1"/>
    <s v="5-10 Miles"/>
    <x v="1"/>
    <n v="43"/>
    <x v="0"/>
    <x v="1"/>
  </r>
  <r>
    <n v="25313"/>
    <x v="1"/>
    <x v="1"/>
    <n v="10000"/>
    <n v="0"/>
    <x v="3"/>
    <x v="3"/>
    <x v="1"/>
    <n v="2"/>
    <s v="1-2 Miles"/>
    <x v="0"/>
    <n v="35"/>
    <x v="3"/>
    <x v="0"/>
  </r>
  <r>
    <n v="13813"/>
    <x v="0"/>
    <x v="0"/>
    <n v="30000"/>
    <n v="3"/>
    <x v="1"/>
    <x v="1"/>
    <x v="1"/>
    <n v="0"/>
    <s v="0-1 Miles"/>
    <x v="0"/>
    <n v="42"/>
    <x v="0"/>
    <x v="0"/>
  </r>
  <r>
    <n v="18711"/>
    <x v="1"/>
    <x v="0"/>
    <n v="70000"/>
    <n v="5"/>
    <x v="0"/>
    <x v="2"/>
    <x v="0"/>
    <n v="4"/>
    <s v="10+ Miles"/>
    <x v="1"/>
    <n v="39"/>
    <x v="0"/>
    <x v="0"/>
  </r>
  <r>
    <n v="19650"/>
    <x v="0"/>
    <x v="0"/>
    <n v="30000"/>
    <n v="2"/>
    <x v="1"/>
    <x v="1"/>
    <x v="1"/>
    <n v="2"/>
    <s v="0-1 Miles"/>
    <x v="1"/>
    <n v="67"/>
    <x v="4"/>
    <x v="0"/>
  </r>
  <r>
    <n v="14135"/>
    <x v="0"/>
    <x v="1"/>
    <n v="20000"/>
    <n v="1"/>
    <x v="1"/>
    <x v="3"/>
    <x v="0"/>
    <n v="0"/>
    <s v="1-2 Miles"/>
    <x v="0"/>
    <n v="35"/>
    <x v="3"/>
    <x v="0"/>
  </r>
  <r>
    <n v="12833"/>
    <x v="1"/>
    <x v="0"/>
    <n v="20000"/>
    <n v="3"/>
    <x v="2"/>
    <x v="3"/>
    <x v="0"/>
    <n v="1"/>
    <s v="0-1 Miles"/>
    <x v="0"/>
    <n v="42"/>
    <x v="0"/>
    <x v="1"/>
  </r>
  <r>
    <n v="26849"/>
    <x v="0"/>
    <x v="1"/>
    <n v="10000"/>
    <n v="3"/>
    <x v="3"/>
    <x v="3"/>
    <x v="0"/>
    <n v="2"/>
    <s v="0-1 Miles"/>
    <x v="0"/>
    <n v="43"/>
    <x v="0"/>
    <x v="0"/>
  </r>
  <r>
    <n v="20962"/>
    <x v="0"/>
    <x v="0"/>
    <n v="20000"/>
    <n v="1"/>
    <x v="4"/>
    <x v="1"/>
    <x v="0"/>
    <n v="0"/>
    <s v="0-1 Miles"/>
    <x v="0"/>
    <n v="45"/>
    <x v="0"/>
    <x v="0"/>
  </r>
  <r>
    <n v="28915"/>
    <x v="1"/>
    <x v="1"/>
    <n v="80000"/>
    <n v="5"/>
    <x v="2"/>
    <x v="4"/>
    <x v="0"/>
    <n v="3"/>
    <s v="10+ Miles"/>
    <x v="0"/>
    <n v="57"/>
    <x v="1"/>
    <x v="0"/>
  </r>
  <r>
    <n v="22830"/>
    <x v="0"/>
    <x v="1"/>
    <n v="120000"/>
    <n v="4"/>
    <x v="1"/>
    <x v="4"/>
    <x v="0"/>
    <n v="3"/>
    <s v="10+ Miles"/>
    <x v="0"/>
    <n v="56"/>
    <x v="1"/>
    <x v="0"/>
  </r>
  <r>
    <n v="14777"/>
    <x v="0"/>
    <x v="0"/>
    <n v="40000"/>
    <n v="0"/>
    <x v="0"/>
    <x v="1"/>
    <x v="0"/>
    <n v="0"/>
    <s v="0-1 Miles"/>
    <x v="0"/>
    <n v="38"/>
    <x v="0"/>
    <x v="1"/>
  </r>
  <r>
    <n v="12591"/>
    <x v="0"/>
    <x v="0"/>
    <n v="30000"/>
    <n v="4"/>
    <x v="4"/>
    <x v="1"/>
    <x v="0"/>
    <n v="0"/>
    <s v="0-1 Miles"/>
    <x v="0"/>
    <n v="45"/>
    <x v="0"/>
    <x v="0"/>
  </r>
  <r>
    <n v="24174"/>
    <x v="0"/>
    <x v="1"/>
    <n v="20000"/>
    <n v="0"/>
    <x v="0"/>
    <x v="1"/>
    <x v="0"/>
    <n v="0"/>
    <s v="0-1 Miles"/>
    <x v="1"/>
    <n v="27"/>
    <x v="3"/>
    <x v="1"/>
  </r>
  <r>
    <n v="24611"/>
    <x v="1"/>
    <x v="1"/>
    <n v="90000"/>
    <n v="0"/>
    <x v="0"/>
    <x v="2"/>
    <x v="1"/>
    <n v="4"/>
    <s v="10+ Miles"/>
    <x v="1"/>
    <n v="35"/>
    <x v="3"/>
    <x v="1"/>
  </r>
  <r>
    <n v="11340"/>
    <x v="0"/>
    <x v="0"/>
    <n v="10000"/>
    <n v="1"/>
    <x v="4"/>
    <x v="1"/>
    <x v="0"/>
    <n v="0"/>
    <s v="0-1 Miles"/>
    <x v="0"/>
    <n v="70"/>
    <x v="4"/>
    <x v="1"/>
  </r>
  <r>
    <n v="25693"/>
    <x v="1"/>
    <x v="0"/>
    <n v="30000"/>
    <n v="5"/>
    <x v="4"/>
    <x v="1"/>
    <x v="0"/>
    <n v="0"/>
    <s v="0-1 Miles"/>
    <x v="0"/>
    <n v="44"/>
    <x v="0"/>
    <x v="1"/>
  </r>
  <r>
    <n v="25555"/>
    <x v="0"/>
    <x v="0"/>
    <n v="10000"/>
    <n v="0"/>
    <x v="1"/>
    <x v="3"/>
    <x v="1"/>
    <n v="1"/>
    <s v="0-1 Miles"/>
    <x v="1"/>
    <n v="26"/>
    <x v="3"/>
    <x v="1"/>
  </r>
  <r>
    <n v="22006"/>
    <x v="0"/>
    <x v="1"/>
    <n v="70000"/>
    <n v="5"/>
    <x v="1"/>
    <x v="0"/>
    <x v="0"/>
    <n v="3"/>
    <s v="5-10 Miles"/>
    <x v="1"/>
    <n v="46"/>
    <x v="2"/>
    <x v="0"/>
  </r>
  <r>
    <n v="20060"/>
    <x v="1"/>
    <x v="0"/>
    <n v="30000"/>
    <n v="0"/>
    <x v="2"/>
    <x v="3"/>
    <x v="1"/>
    <n v="1"/>
    <s v="2-5 Miles"/>
    <x v="0"/>
    <n v="34"/>
    <x v="3"/>
    <x v="1"/>
  </r>
  <r>
    <n v="17702"/>
    <x v="0"/>
    <x v="1"/>
    <n v="10000"/>
    <n v="1"/>
    <x v="4"/>
    <x v="3"/>
    <x v="0"/>
    <n v="0"/>
    <s v="0-1 Miles"/>
    <x v="0"/>
    <n v="37"/>
    <x v="0"/>
    <x v="0"/>
  </r>
  <r>
    <n v="12503"/>
    <x v="1"/>
    <x v="0"/>
    <n v="30000"/>
    <n v="3"/>
    <x v="1"/>
    <x v="1"/>
    <x v="0"/>
    <n v="2"/>
    <s v="0-1 Miles"/>
    <x v="0"/>
    <n v="27"/>
    <x v="3"/>
    <x v="0"/>
  </r>
  <r>
    <n v="23908"/>
    <x v="1"/>
    <x v="1"/>
    <n v="30000"/>
    <n v="1"/>
    <x v="0"/>
    <x v="1"/>
    <x v="1"/>
    <n v="1"/>
    <s v="0-1 Miles"/>
    <x v="0"/>
    <n v="39"/>
    <x v="0"/>
    <x v="1"/>
  </r>
  <r>
    <n v="22527"/>
    <x v="1"/>
    <x v="0"/>
    <n v="20000"/>
    <n v="0"/>
    <x v="2"/>
    <x v="3"/>
    <x v="1"/>
    <n v="1"/>
    <s v="2-5 Miles"/>
    <x v="0"/>
    <n v="29"/>
    <x v="3"/>
    <x v="0"/>
  </r>
  <r>
    <n v="19057"/>
    <x v="0"/>
    <x v="0"/>
    <n v="120000"/>
    <n v="3"/>
    <x v="0"/>
    <x v="4"/>
    <x v="1"/>
    <n v="2"/>
    <s v="10+ Miles"/>
    <x v="0"/>
    <n v="52"/>
    <x v="2"/>
    <x v="1"/>
  </r>
  <r>
    <n v="18494"/>
    <x v="0"/>
    <x v="1"/>
    <n v="110000"/>
    <n v="5"/>
    <x v="0"/>
    <x v="4"/>
    <x v="0"/>
    <n v="4"/>
    <s v="2-5 Miles"/>
    <x v="1"/>
    <n v="48"/>
    <x v="2"/>
    <x v="1"/>
  </r>
  <r>
    <n v="11249"/>
    <x v="0"/>
    <x v="0"/>
    <n v="130000"/>
    <n v="3"/>
    <x v="1"/>
    <x v="2"/>
    <x v="0"/>
    <n v="3"/>
    <s v="0-1 Miles"/>
    <x v="0"/>
    <n v="51"/>
    <x v="2"/>
    <x v="1"/>
  </r>
  <r>
    <n v="21568"/>
    <x v="0"/>
    <x v="0"/>
    <n v="100000"/>
    <n v="0"/>
    <x v="2"/>
    <x v="4"/>
    <x v="0"/>
    <n v="4"/>
    <s v="10+ Miles"/>
    <x v="1"/>
    <n v="34"/>
    <x v="3"/>
    <x v="1"/>
  </r>
  <r>
    <n v="13981"/>
    <x v="0"/>
    <x v="0"/>
    <n v="10000"/>
    <n v="5"/>
    <x v="2"/>
    <x v="0"/>
    <x v="1"/>
    <n v="3"/>
    <s v="1-2 Miles"/>
    <x v="1"/>
    <n v="62"/>
    <x v="1"/>
    <x v="0"/>
  </r>
  <r>
    <n v="23432"/>
    <x v="1"/>
    <x v="1"/>
    <n v="70000"/>
    <n v="0"/>
    <x v="0"/>
    <x v="2"/>
    <x v="0"/>
    <n v="1"/>
    <s v="5-10 Miles"/>
    <x v="1"/>
    <n v="37"/>
    <x v="0"/>
    <x v="1"/>
  </r>
  <r>
    <n v="22931"/>
    <x v="0"/>
    <x v="1"/>
    <n v="100000"/>
    <n v="5"/>
    <x v="4"/>
    <x v="4"/>
    <x v="1"/>
    <n v="1"/>
    <s v="1-2 Miles"/>
    <x v="1"/>
    <n v="78"/>
    <x v="4"/>
    <x v="1"/>
  </r>
  <r>
    <n v="18172"/>
    <x v="0"/>
    <x v="1"/>
    <n v="130000"/>
    <n v="4"/>
    <x v="2"/>
    <x v="2"/>
    <x v="0"/>
    <n v="3"/>
    <s v="0-1 Miles"/>
    <x v="0"/>
    <n v="55"/>
    <x v="2"/>
    <x v="0"/>
  </r>
  <r>
    <n v="12666"/>
    <x v="1"/>
    <x v="1"/>
    <n v="60000"/>
    <n v="0"/>
    <x v="0"/>
    <x v="2"/>
    <x v="1"/>
    <n v="4"/>
    <s v="2-5 Miles"/>
    <x v="1"/>
    <n v="31"/>
    <x v="3"/>
    <x v="0"/>
  </r>
  <r>
    <n v="20598"/>
    <x v="0"/>
    <x v="1"/>
    <n v="100000"/>
    <n v="3"/>
    <x v="3"/>
    <x v="2"/>
    <x v="0"/>
    <n v="0"/>
    <s v="10+ Miles"/>
    <x v="0"/>
    <n v="59"/>
    <x v="1"/>
    <x v="1"/>
  </r>
  <r>
    <n v="21375"/>
    <x v="1"/>
    <x v="1"/>
    <n v="20000"/>
    <n v="2"/>
    <x v="3"/>
    <x v="1"/>
    <x v="0"/>
    <n v="2"/>
    <s v="5-10 Miles"/>
    <x v="1"/>
    <n v="57"/>
    <x v="1"/>
    <x v="0"/>
  </r>
  <r>
    <n v="20839"/>
    <x v="1"/>
    <x v="0"/>
    <n v="30000"/>
    <n v="3"/>
    <x v="4"/>
    <x v="1"/>
    <x v="0"/>
    <n v="0"/>
    <s v="0-1 Miles"/>
    <x v="0"/>
    <n v="47"/>
    <x v="2"/>
    <x v="1"/>
  </r>
  <r>
    <n v="21738"/>
    <x v="0"/>
    <x v="1"/>
    <n v="20000"/>
    <n v="1"/>
    <x v="4"/>
    <x v="1"/>
    <x v="0"/>
    <n v="0"/>
    <s v="0-1 Miles"/>
    <x v="0"/>
    <n v="43"/>
    <x v="0"/>
    <x v="0"/>
  </r>
  <r>
    <n v="14164"/>
    <x v="1"/>
    <x v="0"/>
    <n v="50000"/>
    <n v="0"/>
    <x v="4"/>
    <x v="0"/>
    <x v="0"/>
    <n v="0"/>
    <s v="0-1 Miles"/>
    <x v="0"/>
    <n v="36"/>
    <x v="0"/>
    <x v="1"/>
  </r>
  <r>
    <n v="14193"/>
    <x v="1"/>
    <x v="0"/>
    <n v="100000"/>
    <n v="3"/>
    <x v="1"/>
    <x v="4"/>
    <x v="0"/>
    <n v="4"/>
    <s v="10+ Miles"/>
    <x v="0"/>
    <n v="56"/>
    <x v="1"/>
    <x v="0"/>
  </r>
  <r>
    <n v="12705"/>
    <x v="0"/>
    <x v="1"/>
    <n v="150000"/>
    <n v="0"/>
    <x v="0"/>
    <x v="4"/>
    <x v="0"/>
    <n v="4"/>
    <s v="0-1 Miles"/>
    <x v="1"/>
    <n v="37"/>
    <x v="0"/>
    <x v="1"/>
  </r>
  <r>
    <n v="22672"/>
    <x v="1"/>
    <x v="0"/>
    <n v="30000"/>
    <n v="2"/>
    <x v="1"/>
    <x v="1"/>
    <x v="0"/>
    <n v="0"/>
    <s v="0-1 Miles"/>
    <x v="0"/>
    <n v="43"/>
    <x v="0"/>
    <x v="0"/>
  </r>
  <r>
    <n v="26219"/>
    <x v="0"/>
    <x v="0"/>
    <n v="40000"/>
    <n v="1"/>
    <x v="0"/>
    <x v="0"/>
    <x v="0"/>
    <n v="1"/>
    <s v="1-2 Miles"/>
    <x v="0"/>
    <n v="33"/>
    <x v="3"/>
    <x v="1"/>
  </r>
  <r>
    <n v="28468"/>
    <x v="0"/>
    <x v="0"/>
    <n v="10000"/>
    <n v="2"/>
    <x v="1"/>
    <x v="3"/>
    <x v="0"/>
    <n v="0"/>
    <s v="1-2 Miles"/>
    <x v="0"/>
    <n v="51"/>
    <x v="2"/>
    <x v="0"/>
  </r>
  <r>
    <n v="23419"/>
    <x v="1"/>
    <x v="0"/>
    <n v="70000"/>
    <n v="5"/>
    <x v="0"/>
    <x v="2"/>
    <x v="0"/>
    <n v="3"/>
    <s v="10+ Miles"/>
    <x v="1"/>
    <n v="39"/>
    <x v="0"/>
    <x v="0"/>
  </r>
  <r>
    <n v="17964"/>
    <x v="0"/>
    <x v="1"/>
    <n v="40000"/>
    <n v="0"/>
    <x v="4"/>
    <x v="1"/>
    <x v="0"/>
    <n v="0"/>
    <s v="0-1 Miles"/>
    <x v="0"/>
    <n v="37"/>
    <x v="0"/>
    <x v="1"/>
  </r>
  <r>
    <n v="20919"/>
    <x v="1"/>
    <x v="0"/>
    <n v="30000"/>
    <n v="2"/>
    <x v="1"/>
    <x v="1"/>
    <x v="0"/>
    <n v="2"/>
    <s v="0-1 Miles"/>
    <x v="0"/>
    <n v="42"/>
    <x v="0"/>
    <x v="0"/>
  </r>
  <r>
    <n v="20927"/>
    <x v="1"/>
    <x v="0"/>
    <n v="20000"/>
    <n v="5"/>
    <x v="2"/>
    <x v="3"/>
    <x v="0"/>
    <n v="2"/>
    <s v="0-1 Miles"/>
    <x v="0"/>
    <n v="27"/>
    <x v="3"/>
    <x v="0"/>
  </r>
  <r>
    <n v="13133"/>
    <x v="1"/>
    <x v="1"/>
    <n v="100000"/>
    <n v="5"/>
    <x v="0"/>
    <x v="2"/>
    <x v="0"/>
    <n v="1"/>
    <s v="5-10 Miles"/>
    <x v="1"/>
    <n v="47"/>
    <x v="2"/>
    <x v="1"/>
  </r>
  <r>
    <n v="19626"/>
    <x v="0"/>
    <x v="1"/>
    <n v="70000"/>
    <n v="5"/>
    <x v="1"/>
    <x v="0"/>
    <x v="0"/>
    <n v="3"/>
    <s v="5-10 Miles"/>
    <x v="1"/>
    <n v="45"/>
    <x v="0"/>
    <x v="0"/>
  </r>
  <r>
    <n v="21039"/>
    <x v="1"/>
    <x v="0"/>
    <n v="50000"/>
    <n v="0"/>
    <x v="4"/>
    <x v="0"/>
    <x v="1"/>
    <n v="0"/>
    <s v="0-1 Miles"/>
    <x v="0"/>
    <n v="37"/>
    <x v="0"/>
    <x v="1"/>
  </r>
  <r>
    <n v="12231"/>
    <x v="1"/>
    <x v="0"/>
    <n v="10000"/>
    <n v="2"/>
    <x v="1"/>
    <x v="3"/>
    <x v="0"/>
    <n v="0"/>
    <s v="0-1 Miles"/>
    <x v="0"/>
    <n v="51"/>
    <x v="2"/>
    <x v="1"/>
  </r>
  <r>
    <n v="25665"/>
    <x v="1"/>
    <x v="0"/>
    <n v="20000"/>
    <n v="0"/>
    <x v="2"/>
    <x v="3"/>
    <x v="1"/>
    <n v="1"/>
    <s v="1-2 Miles"/>
    <x v="0"/>
    <n v="28"/>
    <x v="3"/>
    <x v="0"/>
  </r>
  <r>
    <n v="24061"/>
    <x v="0"/>
    <x v="1"/>
    <n v="10000"/>
    <n v="4"/>
    <x v="3"/>
    <x v="3"/>
    <x v="0"/>
    <n v="1"/>
    <s v="0-1 Miles"/>
    <x v="0"/>
    <n v="40"/>
    <x v="0"/>
    <x v="1"/>
  </r>
  <r>
    <n v="26879"/>
    <x v="1"/>
    <x v="0"/>
    <n v="20000"/>
    <n v="0"/>
    <x v="2"/>
    <x v="3"/>
    <x v="1"/>
    <n v="1"/>
    <s v="2-5 Miles"/>
    <x v="0"/>
    <n v="30"/>
    <x v="3"/>
    <x v="0"/>
  </r>
  <r>
    <n v="12284"/>
    <x v="0"/>
    <x v="0"/>
    <n v="30000"/>
    <n v="0"/>
    <x v="0"/>
    <x v="1"/>
    <x v="1"/>
    <n v="0"/>
    <s v="0-1 Miles"/>
    <x v="0"/>
    <n v="36"/>
    <x v="0"/>
    <x v="1"/>
  </r>
  <r>
    <n v="26654"/>
    <x v="0"/>
    <x v="0"/>
    <n v="90000"/>
    <n v="1"/>
    <x v="4"/>
    <x v="4"/>
    <x v="0"/>
    <n v="0"/>
    <s v="0-1 Miles"/>
    <x v="1"/>
    <n v="37"/>
    <x v="0"/>
    <x v="1"/>
  </r>
  <r>
    <n v="14545"/>
    <x v="0"/>
    <x v="0"/>
    <n v="10000"/>
    <n v="2"/>
    <x v="1"/>
    <x v="3"/>
    <x v="0"/>
    <n v="0"/>
    <s v="1-2 Miles"/>
    <x v="0"/>
    <n v="49"/>
    <x v="2"/>
    <x v="0"/>
  </r>
  <r>
    <n v="24201"/>
    <x v="0"/>
    <x v="0"/>
    <n v="10000"/>
    <n v="2"/>
    <x v="2"/>
    <x v="3"/>
    <x v="0"/>
    <n v="0"/>
    <s v="0-1 Miles"/>
    <x v="0"/>
    <n v="37"/>
    <x v="0"/>
    <x v="1"/>
  </r>
  <r>
    <n v="20625"/>
    <x v="0"/>
    <x v="1"/>
    <n v="100000"/>
    <n v="0"/>
    <x v="2"/>
    <x v="4"/>
    <x v="0"/>
    <n v="3"/>
    <s v="10+ Miles"/>
    <x v="1"/>
    <n v="35"/>
    <x v="3"/>
    <x v="1"/>
  </r>
  <r>
    <n v="16390"/>
    <x v="1"/>
    <x v="1"/>
    <n v="30000"/>
    <n v="1"/>
    <x v="0"/>
    <x v="1"/>
    <x v="1"/>
    <n v="0"/>
    <s v="0-1 Miles"/>
    <x v="0"/>
    <n v="38"/>
    <x v="0"/>
    <x v="1"/>
  </r>
  <r>
    <n v="14804"/>
    <x v="1"/>
    <x v="0"/>
    <n v="10000"/>
    <n v="3"/>
    <x v="3"/>
    <x v="3"/>
    <x v="0"/>
    <n v="2"/>
    <s v="0-1 Miles"/>
    <x v="0"/>
    <n v="43"/>
    <x v="0"/>
    <x v="0"/>
  </r>
  <r>
    <n v="12629"/>
    <x v="1"/>
    <x v="1"/>
    <n v="20000"/>
    <n v="1"/>
    <x v="1"/>
    <x v="3"/>
    <x v="1"/>
    <n v="0"/>
    <s v="0-1 Miles"/>
    <x v="0"/>
    <n v="37"/>
    <x v="0"/>
    <x v="0"/>
  </r>
  <r>
    <n v="14696"/>
    <x v="1"/>
    <x v="1"/>
    <n v="10000"/>
    <n v="0"/>
    <x v="3"/>
    <x v="3"/>
    <x v="1"/>
    <n v="2"/>
    <s v="0-1 Miles"/>
    <x v="0"/>
    <n v="34"/>
    <x v="3"/>
    <x v="0"/>
  </r>
  <r>
    <n v="22005"/>
    <x v="0"/>
    <x v="0"/>
    <n v="70000"/>
    <n v="5"/>
    <x v="1"/>
    <x v="0"/>
    <x v="1"/>
    <n v="3"/>
    <s v="5-10 Miles"/>
    <x v="1"/>
    <n v="46"/>
    <x v="2"/>
    <x v="0"/>
  </r>
  <r>
    <n v="14544"/>
    <x v="1"/>
    <x v="1"/>
    <n v="10000"/>
    <n v="1"/>
    <x v="1"/>
    <x v="3"/>
    <x v="0"/>
    <n v="0"/>
    <s v="0-1 Miles"/>
    <x v="0"/>
    <n v="49"/>
    <x v="2"/>
    <x v="0"/>
  </r>
  <r>
    <n v="14312"/>
    <x v="0"/>
    <x v="0"/>
    <n v="60000"/>
    <n v="1"/>
    <x v="1"/>
    <x v="0"/>
    <x v="0"/>
    <n v="1"/>
    <s v="5-10 Miles"/>
    <x v="1"/>
    <n v="45"/>
    <x v="0"/>
    <x v="0"/>
  </r>
  <r>
    <n v="29120"/>
    <x v="1"/>
    <x v="0"/>
    <n v="100000"/>
    <n v="1"/>
    <x v="0"/>
    <x v="4"/>
    <x v="0"/>
    <n v="4"/>
    <s v="2-5 Miles"/>
    <x v="1"/>
    <n v="48"/>
    <x v="2"/>
    <x v="0"/>
  </r>
  <r>
    <n v="24187"/>
    <x v="1"/>
    <x v="0"/>
    <n v="30000"/>
    <n v="3"/>
    <x v="4"/>
    <x v="1"/>
    <x v="1"/>
    <n v="0"/>
    <s v="0-1 Miles"/>
    <x v="0"/>
    <n v="46"/>
    <x v="2"/>
    <x v="1"/>
  </r>
  <r>
    <n v="15758"/>
    <x v="0"/>
    <x v="1"/>
    <n v="130000"/>
    <n v="0"/>
    <x v="4"/>
    <x v="4"/>
    <x v="0"/>
    <n v="0"/>
    <s v="5-10 Miles"/>
    <x v="1"/>
    <n v="48"/>
    <x v="2"/>
    <x v="0"/>
  </r>
  <r>
    <n v="29094"/>
    <x v="0"/>
    <x v="1"/>
    <n v="30000"/>
    <n v="3"/>
    <x v="2"/>
    <x v="0"/>
    <x v="0"/>
    <n v="2"/>
    <s v="5-10 Miles"/>
    <x v="1"/>
    <n v="54"/>
    <x v="2"/>
    <x v="1"/>
  </r>
  <r>
    <n v="28319"/>
    <x v="1"/>
    <x v="0"/>
    <n v="60000"/>
    <n v="1"/>
    <x v="1"/>
    <x v="0"/>
    <x v="1"/>
    <n v="1"/>
    <s v="0-1 Miles"/>
    <x v="1"/>
    <n v="46"/>
    <x v="2"/>
    <x v="1"/>
  </r>
  <r>
    <n v="16406"/>
    <x v="0"/>
    <x v="1"/>
    <n v="40000"/>
    <n v="0"/>
    <x v="0"/>
    <x v="1"/>
    <x v="1"/>
    <n v="0"/>
    <s v="0-1 Miles"/>
    <x v="0"/>
    <n v="38"/>
    <x v="0"/>
    <x v="1"/>
  </r>
  <r>
    <n v="20923"/>
    <x v="0"/>
    <x v="0"/>
    <n v="40000"/>
    <n v="1"/>
    <x v="0"/>
    <x v="0"/>
    <x v="0"/>
    <n v="0"/>
    <s v="0-1 Miles"/>
    <x v="0"/>
    <n v="42"/>
    <x v="0"/>
    <x v="1"/>
  </r>
  <r>
    <n v="11378"/>
    <x v="1"/>
    <x v="0"/>
    <n v="10000"/>
    <n v="1"/>
    <x v="2"/>
    <x v="3"/>
    <x v="1"/>
    <n v="1"/>
    <s v="2-5 Miles"/>
    <x v="0"/>
    <n v="46"/>
    <x v="2"/>
    <x v="1"/>
  </r>
  <r>
    <n v="20851"/>
    <x v="1"/>
    <x v="1"/>
    <n v="20000"/>
    <n v="0"/>
    <x v="1"/>
    <x v="3"/>
    <x v="1"/>
    <n v="1"/>
    <s v="2-5 Miles"/>
    <x v="0"/>
    <n v="36"/>
    <x v="0"/>
    <x v="1"/>
  </r>
  <r>
    <n v="21557"/>
    <x v="1"/>
    <x v="0"/>
    <n v="110000"/>
    <n v="0"/>
    <x v="1"/>
    <x v="4"/>
    <x v="0"/>
    <n v="3"/>
    <s v="10+ Miles"/>
    <x v="1"/>
    <n v="32"/>
    <x v="3"/>
    <x v="1"/>
  </r>
  <r>
    <n v="26663"/>
    <x v="1"/>
    <x v="0"/>
    <n v="60000"/>
    <n v="2"/>
    <x v="0"/>
    <x v="2"/>
    <x v="1"/>
    <n v="1"/>
    <s v="0-1 Miles"/>
    <x v="1"/>
    <n v="39"/>
    <x v="0"/>
    <x v="1"/>
  </r>
  <r>
    <n v="11896"/>
    <x v="0"/>
    <x v="1"/>
    <n v="100000"/>
    <n v="1"/>
    <x v="4"/>
    <x v="4"/>
    <x v="0"/>
    <n v="0"/>
    <s v="2-5 Miles"/>
    <x v="1"/>
    <n v="36"/>
    <x v="0"/>
    <x v="1"/>
  </r>
  <r>
    <n v="14189"/>
    <x v="0"/>
    <x v="0"/>
    <n v="90000"/>
    <n v="4"/>
    <x v="2"/>
    <x v="2"/>
    <x v="1"/>
    <n v="2"/>
    <s v="2-5 Miles"/>
    <x v="0"/>
    <n v="54"/>
    <x v="2"/>
    <x v="1"/>
  </r>
  <r>
    <n v="13136"/>
    <x v="0"/>
    <x v="0"/>
    <n v="30000"/>
    <n v="2"/>
    <x v="1"/>
    <x v="1"/>
    <x v="1"/>
    <n v="2"/>
    <s v="5-10 Miles"/>
    <x v="1"/>
    <n v="69"/>
    <x v="4"/>
    <x v="0"/>
  </r>
  <r>
    <n v="25906"/>
    <x v="1"/>
    <x v="0"/>
    <n v="10000"/>
    <n v="5"/>
    <x v="2"/>
    <x v="0"/>
    <x v="1"/>
    <n v="2"/>
    <s v="1-2 Miles"/>
    <x v="1"/>
    <n v="62"/>
    <x v="1"/>
    <x v="0"/>
  </r>
  <r>
    <n v="17926"/>
    <x v="1"/>
    <x v="0"/>
    <n v="40000"/>
    <n v="0"/>
    <x v="0"/>
    <x v="1"/>
    <x v="1"/>
    <n v="0"/>
    <s v="0-1 Miles"/>
    <x v="1"/>
    <n v="28"/>
    <x v="3"/>
    <x v="1"/>
  </r>
  <r>
    <n v="26928"/>
    <x v="1"/>
    <x v="1"/>
    <n v="30000"/>
    <n v="1"/>
    <x v="0"/>
    <x v="1"/>
    <x v="0"/>
    <n v="0"/>
    <s v="0-1 Miles"/>
    <x v="0"/>
    <n v="62"/>
    <x v="1"/>
    <x v="1"/>
  </r>
  <r>
    <n v="20897"/>
    <x v="0"/>
    <x v="0"/>
    <n v="30000"/>
    <n v="1"/>
    <x v="0"/>
    <x v="0"/>
    <x v="0"/>
    <n v="2"/>
    <s v="0-1 Miles"/>
    <x v="0"/>
    <n v="40"/>
    <x v="0"/>
    <x v="0"/>
  </r>
  <r>
    <n v="28207"/>
    <x v="0"/>
    <x v="1"/>
    <n v="80000"/>
    <n v="4"/>
    <x v="4"/>
    <x v="4"/>
    <x v="0"/>
    <n v="1"/>
    <s v="0-1 Miles"/>
    <x v="1"/>
    <n v="36"/>
    <x v="0"/>
    <x v="1"/>
  </r>
  <r>
    <n v="25923"/>
    <x v="1"/>
    <x v="1"/>
    <n v="10000"/>
    <n v="2"/>
    <x v="3"/>
    <x v="1"/>
    <x v="0"/>
    <n v="2"/>
    <s v="5-10 Miles"/>
    <x v="1"/>
    <n v="58"/>
    <x v="1"/>
    <x v="0"/>
  </r>
  <r>
    <n v="11000"/>
    <x v="0"/>
    <x v="1"/>
    <n v="90000"/>
    <n v="2"/>
    <x v="0"/>
    <x v="2"/>
    <x v="0"/>
    <n v="0"/>
    <s v="1-2 Miles"/>
    <x v="1"/>
    <n v="40"/>
    <x v="0"/>
    <x v="1"/>
  </r>
  <r>
    <n v="20974"/>
    <x v="0"/>
    <x v="1"/>
    <n v="10000"/>
    <n v="2"/>
    <x v="0"/>
    <x v="1"/>
    <x v="0"/>
    <n v="1"/>
    <s v="0-1 Miles"/>
    <x v="0"/>
    <n v="66"/>
    <x v="4"/>
    <x v="0"/>
  </r>
  <r>
    <n v="28758"/>
    <x v="0"/>
    <x v="1"/>
    <n v="40000"/>
    <n v="2"/>
    <x v="1"/>
    <x v="1"/>
    <x v="0"/>
    <n v="1"/>
    <s v="1-2 Miles"/>
    <x v="0"/>
    <n v="35"/>
    <x v="3"/>
    <x v="1"/>
  </r>
  <r>
    <n v="11381"/>
    <x v="0"/>
    <x v="0"/>
    <n v="20000"/>
    <n v="2"/>
    <x v="1"/>
    <x v="3"/>
    <x v="0"/>
    <n v="1"/>
    <s v="2-5 Miles"/>
    <x v="0"/>
    <n v="47"/>
    <x v="2"/>
    <x v="1"/>
  </r>
  <r>
    <n v="17522"/>
    <x v="0"/>
    <x v="1"/>
    <n v="120000"/>
    <n v="4"/>
    <x v="0"/>
    <x v="4"/>
    <x v="0"/>
    <n v="1"/>
    <s v="2-5 Miles"/>
    <x v="1"/>
    <n v="47"/>
    <x v="2"/>
    <x v="0"/>
  </r>
  <r>
    <n v="21207"/>
    <x v="0"/>
    <x v="1"/>
    <n v="60000"/>
    <n v="1"/>
    <x v="1"/>
    <x v="0"/>
    <x v="0"/>
    <n v="1"/>
    <s v="5-10 Miles"/>
    <x v="1"/>
    <n v="46"/>
    <x v="2"/>
    <x v="0"/>
  </r>
  <r>
    <n v="28102"/>
    <x v="0"/>
    <x v="1"/>
    <n v="20000"/>
    <n v="4"/>
    <x v="2"/>
    <x v="0"/>
    <x v="0"/>
    <n v="2"/>
    <s v="5-10 Miles"/>
    <x v="1"/>
    <n v="58"/>
    <x v="1"/>
    <x v="1"/>
  </r>
  <r>
    <n v="23105"/>
    <x v="1"/>
    <x v="1"/>
    <n v="40000"/>
    <n v="3"/>
    <x v="3"/>
    <x v="1"/>
    <x v="1"/>
    <n v="2"/>
    <s v="5-10 Miles"/>
    <x v="1"/>
    <n v="52"/>
    <x v="2"/>
    <x v="1"/>
  </r>
  <r>
    <n v="18740"/>
    <x v="0"/>
    <x v="1"/>
    <n v="80000"/>
    <n v="5"/>
    <x v="0"/>
    <x v="2"/>
    <x v="1"/>
    <n v="1"/>
    <s v="0-1 Miles"/>
    <x v="1"/>
    <n v="47"/>
    <x v="2"/>
    <x v="1"/>
  </r>
  <r>
    <n v="21213"/>
    <x v="1"/>
    <x v="1"/>
    <n v="70000"/>
    <n v="0"/>
    <x v="0"/>
    <x v="2"/>
    <x v="1"/>
    <n v="1"/>
    <s v="5-10 Miles"/>
    <x v="1"/>
    <n v="41"/>
    <x v="0"/>
    <x v="0"/>
  </r>
  <r>
    <n v="17352"/>
    <x v="0"/>
    <x v="1"/>
    <n v="50000"/>
    <n v="2"/>
    <x v="4"/>
    <x v="4"/>
    <x v="0"/>
    <n v="1"/>
    <s v="5-10 Miles"/>
    <x v="1"/>
    <n v="64"/>
    <x v="1"/>
    <x v="1"/>
  </r>
  <r>
    <n v="14154"/>
    <x v="0"/>
    <x v="1"/>
    <n v="30000"/>
    <n v="0"/>
    <x v="0"/>
    <x v="1"/>
    <x v="0"/>
    <n v="0"/>
    <s v="0-1 Miles"/>
    <x v="0"/>
    <n v="35"/>
    <x v="3"/>
    <x v="1"/>
  </r>
  <r>
    <n v="19066"/>
    <x v="0"/>
    <x v="1"/>
    <n v="130000"/>
    <n v="4"/>
    <x v="1"/>
    <x v="2"/>
    <x v="1"/>
    <n v="3"/>
    <s v="10+ Miles"/>
    <x v="0"/>
    <n v="54"/>
    <x v="2"/>
    <x v="0"/>
  </r>
  <r>
    <n v="11386"/>
    <x v="0"/>
    <x v="0"/>
    <n v="30000"/>
    <n v="3"/>
    <x v="0"/>
    <x v="1"/>
    <x v="0"/>
    <n v="0"/>
    <s v="0-1 Miles"/>
    <x v="0"/>
    <n v="45"/>
    <x v="0"/>
    <x v="0"/>
  </r>
  <r>
    <n v="20228"/>
    <x v="0"/>
    <x v="1"/>
    <n v="100000"/>
    <n v="0"/>
    <x v="4"/>
    <x v="4"/>
    <x v="0"/>
    <n v="0"/>
    <s v="2-5 Miles"/>
    <x v="1"/>
    <n v="40"/>
    <x v="0"/>
    <x v="1"/>
  </r>
  <r>
    <n v="16675"/>
    <x v="1"/>
    <x v="0"/>
    <n v="160000"/>
    <n v="0"/>
    <x v="4"/>
    <x v="4"/>
    <x v="1"/>
    <n v="3"/>
    <s v="0-1 Miles"/>
    <x v="1"/>
    <n v="47"/>
    <x v="2"/>
    <x v="1"/>
  </r>
  <r>
    <n v="16410"/>
    <x v="1"/>
    <x v="0"/>
    <n v="10000"/>
    <n v="4"/>
    <x v="3"/>
    <x v="3"/>
    <x v="0"/>
    <n v="2"/>
    <s v="0-1 Miles"/>
    <x v="0"/>
    <n v="41"/>
    <x v="0"/>
    <x v="1"/>
  </r>
  <r>
    <n v="27760"/>
    <x v="1"/>
    <x v="0"/>
    <n v="40000"/>
    <n v="0"/>
    <x v="4"/>
    <x v="1"/>
    <x v="1"/>
    <n v="0"/>
    <s v="0-1 Miles"/>
    <x v="0"/>
    <n v="37"/>
    <x v="0"/>
    <x v="1"/>
  </r>
  <r>
    <n v="22930"/>
    <x v="0"/>
    <x v="1"/>
    <n v="90000"/>
    <n v="4"/>
    <x v="0"/>
    <x v="2"/>
    <x v="0"/>
    <n v="0"/>
    <s v="1-2 Miles"/>
    <x v="1"/>
    <n v="38"/>
    <x v="0"/>
    <x v="1"/>
  </r>
  <r>
    <n v="23780"/>
    <x v="1"/>
    <x v="1"/>
    <n v="40000"/>
    <n v="2"/>
    <x v="1"/>
    <x v="1"/>
    <x v="1"/>
    <n v="2"/>
    <s v="0-1 Miles"/>
    <x v="0"/>
    <n v="36"/>
    <x v="0"/>
    <x v="1"/>
  </r>
  <r>
    <n v="20994"/>
    <x v="0"/>
    <x v="0"/>
    <n v="20000"/>
    <n v="0"/>
    <x v="0"/>
    <x v="1"/>
    <x v="1"/>
    <n v="0"/>
    <s v="0-1 Miles"/>
    <x v="1"/>
    <n v="26"/>
    <x v="3"/>
    <x v="1"/>
  </r>
  <r>
    <n v="28379"/>
    <x v="0"/>
    <x v="1"/>
    <n v="30000"/>
    <n v="1"/>
    <x v="0"/>
    <x v="0"/>
    <x v="0"/>
    <n v="2"/>
    <s v="0-1 Miles"/>
    <x v="0"/>
    <n v="40"/>
    <x v="0"/>
    <x v="0"/>
  </r>
  <r>
    <n v="14865"/>
    <x v="1"/>
    <x v="1"/>
    <n v="40000"/>
    <n v="2"/>
    <x v="1"/>
    <x v="1"/>
    <x v="0"/>
    <n v="2"/>
    <s v="1-2 Miles"/>
    <x v="0"/>
    <n v="36"/>
    <x v="0"/>
    <x v="0"/>
  </r>
  <r>
    <n v="12663"/>
    <x v="0"/>
    <x v="0"/>
    <n v="90000"/>
    <n v="5"/>
    <x v="3"/>
    <x v="0"/>
    <x v="0"/>
    <n v="2"/>
    <s v="10+ Miles"/>
    <x v="0"/>
    <n v="59"/>
    <x v="1"/>
    <x v="0"/>
  </r>
  <r>
    <n v="24898"/>
    <x v="1"/>
    <x v="0"/>
    <n v="80000"/>
    <n v="0"/>
    <x v="0"/>
    <x v="2"/>
    <x v="0"/>
    <n v="3"/>
    <s v="10+ Miles"/>
    <x v="1"/>
    <n v="32"/>
    <x v="3"/>
    <x v="0"/>
  </r>
  <r>
    <n v="19508"/>
    <x v="0"/>
    <x v="1"/>
    <n v="10000"/>
    <n v="0"/>
    <x v="3"/>
    <x v="3"/>
    <x v="1"/>
    <n v="2"/>
    <s v="0-1 Miles"/>
    <x v="0"/>
    <n v="30"/>
    <x v="3"/>
    <x v="0"/>
  </r>
  <r>
    <n v="11489"/>
    <x v="1"/>
    <x v="0"/>
    <n v="20000"/>
    <n v="0"/>
    <x v="3"/>
    <x v="3"/>
    <x v="1"/>
    <n v="2"/>
    <s v="1-2 Miles"/>
    <x v="0"/>
    <n v="35"/>
    <x v="3"/>
    <x v="1"/>
  </r>
  <r>
    <n v="18160"/>
    <x v="0"/>
    <x v="1"/>
    <n v="130000"/>
    <n v="3"/>
    <x v="2"/>
    <x v="2"/>
    <x v="0"/>
    <n v="4"/>
    <s v="5-10 Miles"/>
    <x v="0"/>
    <n v="51"/>
    <x v="2"/>
    <x v="1"/>
  </r>
  <r>
    <n v="25241"/>
    <x v="0"/>
    <x v="1"/>
    <n v="90000"/>
    <n v="2"/>
    <x v="0"/>
    <x v="2"/>
    <x v="0"/>
    <n v="1"/>
    <s v="5-10 Miles"/>
    <x v="1"/>
    <n v="47"/>
    <x v="2"/>
    <x v="0"/>
  </r>
  <r>
    <n v="24369"/>
    <x v="0"/>
    <x v="1"/>
    <n v="80000"/>
    <n v="5"/>
    <x v="4"/>
    <x v="4"/>
    <x v="1"/>
    <n v="2"/>
    <s v="0-1 Miles"/>
    <x v="1"/>
    <n v="39"/>
    <x v="0"/>
    <x v="0"/>
  </r>
  <r>
    <n v="27165"/>
    <x v="1"/>
    <x v="1"/>
    <n v="20000"/>
    <n v="0"/>
    <x v="3"/>
    <x v="3"/>
    <x v="1"/>
    <n v="2"/>
    <s v="0-1 Miles"/>
    <x v="0"/>
    <n v="34"/>
    <x v="3"/>
    <x v="0"/>
  </r>
  <r>
    <n v="29424"/>
    <x v="0"/>
    <x v="1"/>
    <n v="10000"/>
    <n v="0"/>
    <x v="3"/>
    <x v="3"/>
    <x v="0"/>
    <n v="2"/>
    <s v="0-1 Miles"/>
    <x v="0"/>
    <n v="32"/>
    <x v="3"/>
    <x v="0"/>
  </r>
  <r>
    <n v="15926"/>
    <x v="1"/>
    <x v="0"/>
    <n v="120000"/>
    <n v="3"/>
    <x v="2"/>
    <x v="2"/>
    <x v="0"/>
    <n v="4"/>
    <s v="5-10 Miles"/>
    <x v="0"/>
    <n v="50"/>
    <x v="2"/>
    <x v="1"/>
  </r>
  <r>
    <n v="14554"/>
    <x v="0"/>
    <x v="1"/>
    <n v="20000"/>
    <n v="1"/>
    <x v="0"/>
    <x v="1"/>
    <x v="0"/>
    <n v="0"/>
    <s v="0-1 Miles"/>
    <x v="0"/>
    <n v="66"/>
    <x v="4"/>
    <x v="0"/>
  </r>
  <r>
    <n v="16468"/>
    <x v="1"/>
    <x v="1"/>
    <n v="30000"/>
    <n v="0"/>
    <x v="1"/>
    <x v="1"/>
    <x v="0"/>
    <n v="1"/>
    <s v="2-5 Miles"/>
    <x v="0"/>
    <n v="30"/>
    <x v="3"/>
    <x v="0"/>
  </r>
  <r>
    <n v="19174"/>
    <x v="1"/>
    <x v="0"/>
    <n v="30000"/>
    <n v="0"/>
    <x v="2"/>
    <x v="3"/>
    <x v="1"/>
    <n v="1"/>
    <s v="2-5 Miles"/>
    <x v="0"/>
    <n v="32"/>
    <x v="3"/>
    <x v="1"/>
  </r>
  <r>
    <n v="19183"/>
    <x v="1"/>
    <x v="1"/>
    <n v="10000"/>
    <n v="0"/>
    <x v="3"/>
    <x v="3"/>
    <x v="0"/>
    <n v="2"/>
    <s v="1-2 Miles"/>
    <x v="0"/>
    <n v="35"/>
    <x v="3"/>
    <x v="0"/>
  </r>
  <r>
    <n v="13683"/>
    <x v="1"/>
    <x v="0"/>
    <n v="30000"/>
    <n v="0"/>
    <x v="2"/>
    <x v="3"/>
    <x v="1"/>
    <n v="1"/>
    <s v="2-5 Miles"/>
    <x v="0"/>
    <n v="32"/>
    <x v="3"/>
    <x v="0"/>
  </r>
  <r>
    <n v="17848"/>
    <x v="1"/>
    <x v="1"/>
    <n v="30000"/>
    <n v="0"/>
    <x v="1"/>
    <x v="1"/>
    <x v="1"/>
    <n v="1"/>
    <s v="2-5 Miles"/>
    <x v="0"/>
    <n v="31"/>
    <x v="3"/>
    <x v="1"/>
  </r>
  <r>
    <n v="17894"/>
    <x v="0"/>
    <x v="0"/>
    <n v="20000"/>
    <n v="1"/>
    <x v="0"/>
    <x v="1"/>
    <x v="0"/>
    <n v="0"/>
    <s v="0-1 Miles"/>
    <x v="0"/>
    <n v="50"/>
    <x v="2"/>
    <x v="1"/>
  </r>
  <r>
    <n v="25651"/>
    <x v="0"/>
    <x v="1"/>
    <n v="40000"/>
    <n v="1"/>
    <x v="0"/>
    <x v="0"/>
    <x v="1"/>
    <n v="0"/>
    <s v="0-1 Miles"/>
    <x v="0"/>
    <n v="43"/>
    <x v="0"/>
    <x v="1"/>
  </r>
  <r>
    <n v="22936"/>
    <x v="1"/>
    <x v="0"/>
    <n v="60000"/>
    <n v="1"/>
    <x v="1"/>
    <x v="0"/>
    <x v="1"/>
    <n v="1"/>
    <s v="0-1 Miles"/>
    <x v="1"/>
    <n v="45"/>
    <x v="0"/>
    <x v="1"/>
  </r>
  <r>
    <n v="23915"/>
    <x v="0"/>
    <x v="1"/>
    <n v="20000"/>
    <n v="2"/>
    <x v="2"/>
    <x v="3"/>
    <x v="0"/>
    <n v="2"/>
    <s v="0-1 Miles"/>
    <x v="0"/>
    <n v="42"/>
    <x v="0"/>
    <x v="0"/>
  </r>
  <r>
    <n v="24121"/>
    <x v="1"/>
    <x v="0"/>
    <n v="30000"/>
    <n v="0"/>
    <x v="1"/>
    <x v="1"/>
    <x v="1"/>
    <n v="1"/>
    <s v="0-1 Miles"/>
    <x v="0"/>
    <n v="29"/>
    <x v="3"/>
    <x v="1"/>
  </r>
  <r>
    <n v="27878"/>
    <x v="1"/>
    <x v="1"/>
    <n v="20000"/>
    <n v="0"/>
    <x v="1"/>
    <x v="3"/>
    <x v="1"/>
    <n v="0"/>
    <s v="0-1 Miles"/>
    <x v="1"/>
    <n v="28"/>
    <x v="3"/>
    <x v="1"/>
  </r>
  <r>
    <n v="13572"/>
    <x v="1"/>
    <x v="1"/>
    <n v="10000"/>
    <n v="3"/>
    <x v="2"/>
    <x v="3"/>
    <x v="0"/>
    <n v="0"/>
    <s v="0-1 Miles"/>
    <x v="0"/>
    <n v="37"/>
    <x v="0"/>
    <x v="1"/>
  </r>
  <r>
    <n v="27941"/>
    <x v="0"/>
    <x v="0"/>
    <n v="80000"/>
    <n v="4"/>
    <x v="1"/>
    <x v="2"/>
    <x v="0"/>
    <n v="2"/>
    <s v="2-5 Miles"/>
    <x v="0"/>
    <n v="53"/>
    <x v="2"/>
    <x v="0"/>
  </r>
  <r>
    <n v="26354"/>
    <x v="1"/>
    <x v="1"/>
    <n v="40000"/>
    <n v="0"/>
    <x v="4"/>
    <x v="1"/>
    <x v="1"/>
    <n v="0"/>
    <s v="0-1 Miles"/>
    <x v="0"/>
    <n v="38"/>
    <x v="0"/>
    <x v="1"/>
  </r>
  <r>
    <n v="14785"/>
    <x v="1"/>
    <x v="1"/>
    <n v="30000"/>
    <n v="1"/>
    <x v="0"/>
    <x v="1"/>
    <x v="1"/>
    <n v="1"/>
    <s v="1-2 Miles"/>
    <x v="0"/>
    <n v="39"/>
    <x v="0"/>
    <x v="0"/>
  </r>
  <r>
    <n v="17238"/>
    <x v="1"/>
    <x v="1"/>
    <n v="80000"/>
    <n v="0"/>
    <x v="0"/>
    <x v="2"/>
    <x v="0"/>
    <n v="3"/>
    <s v="10+ Miles"/>
    <x v="1"/>
    <n v="32"/>
    <x v="3"/>
    <x v="0"/>
  </r>
  <r>
    <n v="23608"/>
    <x v="0"/>
    <x v="0"/>
    <n v="150000"/>
    <n v="3"/>
    <x v="2"/>
    <x v="2"/>
    <x v="0"/>
    <n v="3"/>
    <s v="0-1 Miles"/>
    <x v="0"/>
    <n v="51"/>
    <x v="2"/>
    <x v="1"/>
  </r>
  <r>
    <n v="22538"/>
    <x v="1"/>
    <x v="0"/>
    <n v="10000"/>
    <n v="0"/>
    <x v="3"/>
    <x v="3"/>
    <x v="0"/>
    <n v="2"/>
    <s v="1-2 Miles"/>
    <x v="0"/>
    <n v="33"/>
    <x v="3"/>
    <x v="0"/>
  </r>
  <r>
    <n v="12332"/>
    <x v="0"/>
    <x v="1"/>
    <n v="90000"/>
    <n v="4"/>
    <x v="2"/>
    <x v="4"/>
    <x v="0"/>
    <n v="3"/>
    <s v="5-10 Miles"/>
    <x v="0"/>
    <n v="58"/>
    <x v="1"/>
    <x v="1"/>
  </r>
  <r>
    <n v="17230"/>
    <x v="0"/>
    <x v="1"/>
    <n v="80000"/>
    <n v="0"/>
    <x v="0"/>
    <x v="2"/>
    <x v="0"/>
    <n v="3"/>
    <s v="10+ Miles"/>
    <x v="1"/>
    <n v="30"/>
    <x v="3"/>
    <x v="0"/>
  </r>
  <r>
    <n v="13082"/>
    <x v="1"/>
    <x v="1"/>
    <n v="130000"/>
    <n v="0"/>
    <x v="4"/>
    <x v="4"/>
    <x v="0"/>
    <n v="0"/>
    <s v="2-5 Miles"/>
    <x v="1"/>
    <n v="48"/>
    <x v="2"/>
    <x v="1"/>
  </r>
  <r>
    <n v="22518"/>
    <x v="1"/>
    <x v="0"/>
    <n v="30000"/>
    <n v="3"/>
    <x v="1"/>
    <x v="1"/>
    <x v="1"/>
    <n v="2"/>
    <s v="0-1 Miles"/>
    <x v="0"/>
    <n v="27"/>
    <x v="3"/>
    <x v="1"/>
  </r>
  <r>
    <n v="13687"/>
    <x v="0"/>
    <x v="1"/>
    <n v="40000"/>
    <n v="1"/>
    <x v="0"/>
    <x v="0"/>
    <x v="0"/>
    <n v="1"/>
    <s v="0-1 Miles"/>
    <x v="0"/>
    <n v="33"/>
    <x v="3"/>
    <x v="1"/>
  </r>
  <r>
    <n v="23571"/>
    <x v="0"/>
    <x v="0"/>
    <n v="40000"/>
    <n v="2"/>
    <x v="0"/>
    <x v="4"/>
    <x v="0"/>
    <n v="2"/>
    <s v="0-1 Miles"/>
    <x v="1"/>
    <n v="66"/>
    <x v="4"/>
    <x v="1"/>
  </r>
  <r>
    <n v="19305"/>
    <x v="1"/>
    <x v="0"/>
    <n v="10000"/>
    <n v="2"/>
    <x v="2"/>
    <x v="3"/>
    <x v="0"/>
    <n v="1"/>
    <s v="0-1 Miles"/>
    <x v="0"/>
    <n v="38"/>
    <x v="0"/>
    <x v="1"/>
  </r>
  <r>
    <n v="22636"/>
    <x v="1"/>
    <x v="0"/>
    <n v="40000"/>
    <n v="0"/>
    <x v="0"/>
    <x v="1"/>
    <x v="1"/>
    <n v="0"/>
    <s v="0-1 Miles"/>
    <x v="0"/>
    <n v="38"/>
    <x v="0"/>
    <x v="1"/>
  </r>
  <r>
    <n v="17310"/>
    <x v="0"/>
    <x v="1"/>
    <n v="60000"/>
    <n v="1"/>
    <x v="1"/>
    <x v="0"/>
    <x v="0"/>
    <n v="1"/>
    <s v="0-1 Miles"/>
    <x v="1"/>
    <n v="45"/>
    <x v="0"/>
    <x v="1"/>
  </r>
  <r>
    <n v="12133"/>
    <x v="0"/>
    <x v="0"/>
    <n v="130000"/>
    <n v="3"/>
    <x v="1"/>
    <x v="2"/>
    <x v="0"/>
    <n v="3"/>
    <s v="5-10 Miles"/>
    <x v="0"/>
    <n v="50"/>
    <x v="2"/>
    <x v="1"/>
  </r>
  <r>
    <n v="25918"/>
    <x v="1"/>
    <x v="0"/>
    <n v="30000"/>
    <n v="2"/>
    <x v="1"/>
    <x v="1"/>
    <x v="1"/>
    <n v="2"/>
    <s v="5-10 Miles"/>
    <x v="1"/>
    <n v="60"/>
    <x v="1"/>
    <x v="1"/>
  </r>
  <r>
    <n v="25752"/>
    <x v="1"/>
    <x v="0"/>
    <n v="20000"/>
    <n v="2"/>
    <x v="1"/>
    <x v="3"/>
    <x v="1"/>
    <n v="1"/>
    <s v="0-1 Miles"/>
    <x v="0"/>
    <n v="53"/>
    <x v="2"/>
    <x v="1"/>
  </r>
  <r>
    <n v="17324"/>
    <x v="0"/>
    <x v="0"/>
    <n v="100000"/>
    <n v="4"/>
    <x v="0"/>
    <x v="2"/>
    <x v="0"/>
    <n v="1"/>
    <s v="10+ Miles"/>
    <x v="1"/>
    <n v="46"/>
    <x v="2"/>
    <x v="0"/>
  </r>
  <r>
    <n v="22918"/>
    <x v="1"/>
    <x v="1"/>
    <n v="80000"/>
    <n v="5"/>
    <x v="4"/>
    <x v="4"/>
    <x v="0"/>
    <n v="3"/>
    <s v="0-1 Miles"/>
    <x v="1"/>
    <n v="50"/>
    <x v="2"/>
    <x v="0"/>
  </r>
  <r>
    <n v="12510"/>
    <x v="0"/>
    <x v="1"/>
    <n v="40000"/>
    <n v="1"/>
    <x v="0"/>
    <x v="0"/>
    <x v="0"/>
    <n v="1"/>
    <s v="0-1 Miles"/>
    <x v="0"/>
    <n v="43"/>
    <x v="0"/>
    <x v="1"/>
  </r>
  <r>
    <n v="25512"/>
    <x v="1"/>
    <x v="1"/>
    <n v="20000"/>
    <n v="0"/>
    <x v="2"/>
    <x v="3"/>
    <x v="1"/>
    <n v="1"/>
    <s v="2-5 Miles"/>
    <x v="0"/>
    <n v="30"/>
    <x v="3"/>
    <x v="0"/>
  </r>
  <r>
    <n v="16179"/>
    <x v="1"/>
    <x v="0"/>
    <n v="80000"/>
    <n v="5"/>
    <x v="0"/>
    <x v="2"/>
    <x v="0"/>
    <n v="4"/>
    <s v="1-2 Miles"/>
    <x v="1"/>
    <n v="38"/>
    <x v="0"/>
    <x v="0"/>
  </r>
  <r>
    <n v="15628"/>
    <x v="0"/>
    <x v="0"/>
    <n v="40000"/>
    <n v="1"/>
    <x v="0"/>
    <x v="0"/>
    <x v="0"/>
    <n v="1"/>
    <s v="0-1 Miles"/>
    <x v="0"/>
    <n v="89"/>
    <x v="4"/>
    <x v="0"/>
  </r>
  <r>
    <n v="20977"/>
    <x v="0"/>
    <x v="1"/>
    <n v="20000"/>
    <n v="1"/>
    <x v="0"/>
    <x v="1"/>
    <x v="0"/>
    <n v="0"/>
    <s v="0-1 Miles"/>
    <x v="0"/>
    <n v="64"/>
    <x v="1"/>
    <x v="1"/>
  </r>
  <r>
    <n v="18140"/>
    <x v="0"/>
    <x v="1"/>
    <n v="130000"/>
    <n v="3"/>
    <x v="1"/>
    <x v="2"/>
    <x v="1"/>
    <n v="3"/>
    <s v="5-10 Miles"/>
    <x v="0"/>
    <n v="51"/>
    <x v="2"/>
    <x v="1"/>
  </r>
  <r>
    <n v="20417"/>
    <x v="0"/>
    <x v="1"/>
    <n v="30000"/>
    <n v="3"/>
    <x v="1"/>
    <x v="1"/>
    <x v="1"/>
    <n v="2"/>
    <s v="5-10 Miles"/>
    <x v="1"/>
    <n v="56"/>
    <x v="1"/>
    <x v="0"/>
  </r>
  <r>
    <n v="18267"/>
    <x v="0"/>
    <x v="1"/>
    <n v="60000"/>
    <n v="3"/>
    <x v="0"/>
    <x v="2"/>
    <x v="0"/>
    <n v="2"/>
    <s v="5-10 Miles"/>
    <x v="1"/>
    <n v="43"/>
    <x v="0"/>
    <x v="0"/>
  </r>
  <r>
    <n v="13620"/>
    <x v="1"/>
    <x v="1"/>
    <n v="70000"/>
    <n v="0"/>
    <x v="0"/>
    <x v="2"/>
    <x v="1"/>
    <n v="3"/>
    <s v="10+ Miles"/>
    <x v="1"/>
    <n v="30"/>
    <x v="3"/>
    <x v="1"/>
  </r>
  <r>
    <n v="22974"/>
    <x v="0"/>
    <x v="0"/>
    <n v="30000"/>
    <n v="2"/>
    <x v="1"/>
    <x v="1"/>
    <x v="0"/>
    <n v="2"/>
    <s v="5-10 Miles"/>
    <x v="1"/>
    <n v="69"/>
    <x v="4"/>
    <x v="0"/>
  </r>
  <r>
    <n v="13586"/>
    <x v="0"/>
    <x v="1"/>
    <n v="80000"/>
    <n v="4"/>
    <x v="1"/>
    <x v="2"/>
    <x v="0"/>
    <n v="2"/>
    <s v="10+ Miles"/>
    <x v="0"/>
    <n v="53"/>
    <x v="2"/>
    <x v="0"/>
  </r>
  <r>
    <n v="17978"/>
    <x v="0"/>
    <x v="1"/>
    <n v="40000"/>
    <n v="0"/>
    <x v="4"/>
    <x v="1"/>
    <x v="0"/>
    <n v="0"/>
    <s v="0-1 Miles"/>
    <x v="0"/>
    <n v="37"/>
    <x v="0"/>
    <x v="1"/>
  </r>
  <r>
    <n v="12581"/>
    <x v="1"/>
    <x v="0"/>
    <n v="10000"/>
    <n v="0"/>
    <x v="1"/>
    <x v="3"/>
    <x v="1"/>
    <n v="1"/>
    <s v="0-1 Miles"/>
    <x v="1"/>
    <n v="28"/>
    <x v="3"/>
    <x v="1"/>
  </r>
  <r>
    <n v="18018"/>
    <x v="1"/>
    <x v="1"/>
    <n v="30000"/>
    <n v="3"/>
    <x v="1"/>
    <x v="1"/>
    <x v="0"/>
    <n v="0"/>
    <s v="0-1 Miles"/>
    <x v="0"/>
    <n v="43"/>
    <x v="0"/>
    <x v="0"/>
  </r>
  <r>
    <n v="28957"/>
    <x v="1"/>
    <x v="0"/>
    <n v="120000"/>
    <n v="0"/>
    <x v="3"/>
    <x v="2"/>
    <x v="0"/>
    <n v="4"/>
    <s v="10+ Miles"/>
    <x v="1"/>
    <n v="34"/>
    <x v="3"/>
    <x v="1"/>
  </r>
  <r>
    <n v="13690"/>
    <x v="1"/>
    <x v="0"/>
    <n v="20000"/>
    <n v="0"/>
    <x v="3"/>
    <x v="3"/>
    <x v="1"/>
    <n v="2"/>
    <s v="1-2 Miles"/>
    <x v="0"/>
    <n v="34"/>
    <x v="3"/>
    <x v="1"/>
  </r>
  <r>
    <n v="12568"/>
    <x v="0"/>
    <x v="0"/>
    <n v="30000"/>
    <n v="1"/>
    <x v="0"/>
    <x v="1"/>
    <x v="0"/>
    <n v="0"/>
    <s v="0-1 Miles"/>
    <x v="0"/>
    <n v="64"/>
    <x v="1"/>
    <x v="0"/>
  </r>
  <r>
    <n v="13122"/>
    <x v="0"/>
    <x v="0"/>
    <n v="80000"/>
    <n v="0"/>
    <x v="0"/>
    <x v="2"/>
    <x v="0"/>
    <n v="1"/>
    <s v="1-2 Miles"/>
    <x v="1"/>
    <n v="41"/>
    <x v="0"/>
    <x v="1"/>
  </r>
  <r>
    <n v="21184"/>
    <x v="1"/>
    <x v="1"/>
    <n v="70000"/>
    <n v="0"/>
    <x v="0"/>
    <x v="2"/>
    <x v="1"/>
    <n v="1"/>
    <s v="5-10 Miles"/>
    <x v="1"/>
    <n v="38"/>
    <x v="0"/>
    <x v="0"/>
  </r>
  <r>
    <n v="26150"/>
    <x v="1"/>
    <x v="0"/>
    <n v="70000"/>
    <n v="0"/>
    <x v="0"/>
    <x v="2"/>
    <x v="1"/>
    <n v="1"/>
    <s v="0-1 Miles"/>
    <x v="1"/>
    <n v="41"/>
    <x v="0"/>
    <x v="1"/>
  </r>
  <r>
    <n v="24151"/>
    <x v="1"/>
    <x v="1"/>
    <n v="20000"/>
    <n v="1"/>
    <x v="0"/>
    <x v="1"/>
    <x v="1"/>
    <n v="0"/>
    <s v="0-1 Miles"/>
    <x v="0"/>
    <n v="51"/>
    <x v="2"/>
    <x v="0"/>
  </r>
  <r>
    <n v="23962"/>
    <x v="0"/>
    <x v="0"/>
    <n v="10000"/>
    <n v="0"/>
    <x v="3"/>
    <x v="3"/>
    <x v="0"/>
    <n v="2"/>
    <s v="1-2 Miles"/>
    <x v="0"/>
    <n v="32"/>
    <x v="3"/>
    <x v="0"/>
  </r>
  <r>
    <n v="17793"/>
    <x v="0"/>
    <x v="0"/>
    <n v="40000"/>
    <n v="0"/>
    <x v="0"/>
    <x v="1"/>
    <x v="0"/>
    <n v="0"/>
    <s v="0-1 Miles"/>
    <x v="0"/>
    <n v="38"/>
    <x v="0"/>
    <x v="1"/>
  </r>
  <r>
    <n v="14926"/>
    <x v="0"/>
    <x v="1"/>
    <n v="30000"/>
    <n v="1"/>
    <x v="0"/>
    <x v="1"/>
    <x v="0"/>
    <n v="0"/>
    <s v="0-1 Miles"/>
    <x v="0"/>
    <n v="38"/>
    <x v="0"/>
    <x v="1"/>
  </r>
  <r>
    <n v="16163"/>
    <x v="1"/>
    <x v="1"/>
    <n v="60000"/>
    <n v="2"/>
    <x v="0"/>
    <x v="2"/>
    <x v="0"/>
    <n v="1"/>
    <s v="2-5 Miles"/>
    <x v="1"/>
    <n v="38"/>
    <x v="0"/>
    <x v="1"/>
  </r>
  <r>
    <n v="21365"/>
    <x v="0"/>
    <x v="0"/>
    <n v="10000"/>
    <n v="2"/>
    <x v="3"/>
    <x v="1"/>
    <x v="0"/>
    <n v="2"/>
    <s v="5-10 Miles"/>
    <x v="1"/>
    <n v="58"/>
    <x v="1"/>
    <x v="0"/>
  </r>
  <r>
    <n v="27771"/>
    <x v="1"/>
    <x v="1"/>
    <n v="30000"/>
    <n v="1"/>
    <x v="0"/>
    <x v="1"/>
    <x v="0"/>
    <n v="1"/>
    <s v="1-2 Miles"/>
    <x v="0"/>
    <n v="39"/>
    <x v="0"/>
    <x v="1"/>
  </r>
  <r>
    <n v="26167"/>
    <x v="1"/>
    <x v="0"/>
    <n v="40000"/>
    <n v="2"/>
    <x v="0"/>
    <x v="4"/>
    <x v="1"/>
    <n v="1"/>
    <s v="5-10 Miles"/>
    <x v="1"/>
    <n v="53"/>
    <x v="2"/>
    <x v="1"/>
  </r>
  <r>
    <n v="25792"/>
    <x v="1"/>
    <x v="0"/>
    <n v="110000"/>
    <n v="3"/>
    <x v="0"/>
    <x v="4"/>
    <x v="0"/>
    <n v="4"/>
    <s v="10+ Miles"/>
    <x v="0"/>
    <n v="53"/>
    <x v="2"/>
    <x v="0"/>
  </r>
  <r>
    <n v="11555"/>
    <x v="0"/>
    <x v="0"/>
    <n v="40000"/>
    <n v="1"/>
    <x v="0"/>
    <x v="1"/>
    <x v="0"/>
    <n v="0"/>
    <s v="0-1 Miles"/>
    <x v="0"/>
    <n v="80"/>
    <x v="4"/>
    <x v="0"/>
  </r>
  <r>
    <n v="22381"/>
    <x v="0"/>
    <x v="1"/>
    <n v="10000"/>
    <n v="1"/>
    <x v="4"/>
    <x v="3"/>
    <x v="0"/>
    <n v="0"/>
    <s v="0-1 Miles"/>
    <x v="0"/>
    <n v="44"/>
    <x v="0"/>
    <x v="0"/>
  </r>
  <r>
    <n v="17882"/>
    <x v="0"/>
    <x v="1"/>
    <n v="20000"/>
    <n v="1"/>
    <x v="4"/>
    <x v="1"/>
    <x v="0"/>
    <n v="0"/>
    <s v="0-1 Miles"/>
    <x v="0"/>
    <n v="44"/>
    <x v="0"/>
    <x v="0"/>
  </r>
  <r>
    <n v="22174"/>
    <x v="0"/>
    <x v="1"/>
    <n v="30000"/>
    <n v="3"/>
    <x v="2"/>
    <x v="0"/>
    <x v="0"/>
    <n v="2"/>
    <s v="5-10 Miles"/>
    <x v="1"/>
    <n v="54"/>
    <x v="2"/>
    <x v="1"/>
  </r>
  <r>
    <n v="22439"/>
    <x v="0"/>
    <x v="0"/>
    <n v="30000"/>
    <n v="0"/>
    <x v="0"/>
    <x v="1"/>
    <x v="0"/>
    <n v="0"/>
    <s v="0-1 Miles"/>
    <x v="0"/>
    <n v="37"/>
    <x v="0"/>
    <x v="1"/>
  </r>
  <r>
    <n v="18012"/>
    <x v="0"/>
    <x v="0"/>
    <n v="40000"/>
    <n v="1"/>
    <x v="0"/>
    <x v="0"/>
    <x v="0"/>
    <n v="0"/>
    <s v="0-1 Miles"/>
    <x v="0"/>
    <n v="41"/>
    <x v="0"/>
    <x v="0"/>
  </r>
  <r>
    <n v="27582"/>
    <x v="1"/>
    <x v="0"/>
    <n v="90000"/>
    <n v="2"/>
    <x v="0"/>
    <x v="2"/>
    <x v="1"/>
    <n v="0"/>
    <s v="0-1 Miles"/>
    <x v="1"/>
    <n v="36"/>
    <x v="0"/>
    <x v="1"/>
  </r>
  <r>
    <n v="12744"/>
    <x v="1"/>
    <x v="0"/>
    <n v="40000"/>
    <n v="2"/>
    <x v="1"/>
    <x v="1"/>
    <x v="0"/>
    <n v="0"/>
    <s v="0-1 Miles"/>
    <x v="0"/>
    <n v="33"/>
    <x v="3"/>
    <x v="0"/>
  </r>
  <r>
    <n v="22821"/>
    <x v="0"/>
    <x v="0"/>
    <n v="130000"/>
    <n v="3"/>
    <x v="1"/>
    <x v="2"/>
    <x v="0"/>
    <n v="4"/>
    <s v="0-1 Miles"/>
    <x v="0"/>
    <n v="52"/>
    <x v="2"/>
    <x v="0"/>
  </r>
  <r>
    <n v="20171"/>
    <x v="0"/>
    <x v="0"/>
    <n v="20000"/>
    <n v="2"/>
    <x v="1"/>
    <x v="3"/>
    <x v="0"/>
    <n v="1"/>
    <s v="0-1 Miles"/>
    <x v="0"/>
    <n v="46"/>
    <x v="2"/>
    <x v="1"/>
  </r>
  <r>
    <n v="11116"/>
    <x v="0"/>
    <x v="1"/>
    <n v="70000"/>
    <n v="5"/>
    <x v="1"/>
    <x v="0"/>
    <x v="0"/>
    <n v="2"/>
    <s v="5-10 Miles"/>
    <x v="1"/>
    <n v="43"/>
    <x v="0"/>
    <x v="0"/>
  </r>
  <r>
    <n v="20053"/>
    <x v="1"/>
    <x v="1"/>
    <n v="40000"/>
    <n v="2"/>
    <x v="1"/>
    <x v="1"/>
    <x v="0"/>
    <n v="0"/>
    <s v="0-1 Miles"/>
    <x v="0"/>
    <n v="34"/>
    <x v="3"/>
    <x v="0"/>
  </r>
  <r>
    <n v="25266"/>
    <x v="1"/>
    <x v="0"/>
    <n v="30000"/>
    <n v="2"/>
    <x v="1"/>
    <x v="1"/>
    <x v="1"/>
    <n v="2"/>
    <s v="5-10 Miles"/>
    <x v="1"/>
    <n v="67"/>
    <x v="4"/>
    <x v="0"/>
  </r>
  <r>
    <n v="17960"/>
    <x v="0"/>
    <x v="0"/>
    <n v="40000"/>
    <n v="0"/>
    <x v="4"/>
    <x v="1"/>
    <x v="0"/>
    <n v="0"/>
    <s v="0-1 Miles"/>
    <x v="0"/>
    <n v="35"/>
    <x v="3"/>
    <x v="1"/>
  </r>
  <r>
    <n v="13961"/>
    <x v="0"/>
    <x v="0"/>
    <n v="80000"/>
    <n v="5"/>
    <x v="4"/>
    <x v="4"/>
    <x v="0"/>
    <n v="3"/>
    <s v="0-1 Miles"/>
    <x v="1"/>
    <n v="40"/>
    <x v="0"/>
    <x v="0"/>
  </r>
  <r>
    <n v="11897"/>
    <x v="1"/>
    <x v="1"/>
    <n v="60000"/>
    <n v="2"/>
    <x v="0"/>
    <x v="2"/>
    <x v="1"/>
    <n v="1"/>
    <s v="0-1 Miles"/>
    <x v="1"/>
    <n v="37"/>
    <x v="0"/>
    <x v="1"/>
  </r>
  <r>
    <n v="11139"/>
    <x v="1"/>
    <x v="0"/>
    <n v="30000"/>
    <n v="2"/>
    <x v="1"/>
    <x v="1"/>
    <x v="1"/>
    <n v="2"/>
    <s v="5-10 Miles"/>
    <x v="1"/>
    <n v="67"/>
    <x v="4"/>
    <x v="0"/>
  </r>
  <r>
    <n v="11576"/>
    <x v="0"/>
    <x v="1"/>
    <n v="30000"/>
    <n v="1"/>
    <x v="0"/>
    <x v="0"/>
    <x v="0"/>
    <n v="2"/>
    <s v="0-1 Miles"/>
    <x v="0"/>
    <n v="41"/>
    <x v="0"/>
    <x v="1"/>
  </r>
  <r>
    <n v="19255"/>
    <x v="1"/>
    <x v="1"/>
    <n v="10000"/>
    <n v="2"/>
    <x v="1"/>
    <x v="3"/>
    <x v="0"/>
    <n v="1"/>
    <s v="0-1 Miles"/>
    <x v="0"/>
    <n v="51"/>
    <x v="2"/>
    <x v="1"/>
  </r>
  <r>
    <n v="18153"/>
    <x v="0"/>
    <x v="0"/>
    <n v="100000"/>
    <n v="2"/>
    <x v="0"/>
    <x v="4"/>
    <x v="0"/>
    <n v="4"/>
    <s v="10+ Miles"/>
    <x v="0"/>
    <n v="59"/>
    <x v="1"/>
    <x v="0"/>
  </r>
  <r>
    <n v="14547"/>
    <x v="0"/>
    <x v="1"/>
    <n v="10000"/>
    <n v="2"/>
    <x v="1"/>
    <x v="3"/>
    <x v="0"/>
    <n v="0"/>
    <s v="1-2 Miles"/>
    <x v="0"/>
    <n v="51"/>
    <x v="2"/>
    <x v="0"/>
  </r>
  <r>
    <n v="24901"/>
    <x v="1"/>
    <x v="1"/>
    <n v="110000"/>
    <n v="0"/>
    <x v="1"/>
    <x v="4"/>
    <x v="1"/>
    <n v="3"/>
    <s v="10+ Miles"/>
    <x v="1"/>
    <n v="32"/>
    <x v="3"/>
    <x v="1"/>
  </r>
  <r>
    <n v="27169"/>
    <x v="1"/>
    <x v="1"/>
    <n v="30000"/>
    <n v="0"/>
    <x v="2"/>
    <x v="3"/>
    <x v="0"/>
    <n v="1"/>
    <s v="2-5 Miles"/>
    <x v="0"/>
    <n v="34"/>
    <x v="3"/>
    <x v="1"/>
  </r>
  <r>
    <n v="14805"/>
    <x v="1"/>
    <x v="0"/>
    <n v="10000"/>
    <n v="3"/>
    <x v="3"/>
    <x v="3"/>
    <x v="0"/>
    <n v="2"/>
    <s v="0-1 Miles"/>
    <x v="0"/>
    <n v="43"/>
    <x v="0"/>
    <x v="0"/>
  </r>
  <r>
    <n v="15822"/>
    <x v="0"/>
    <x v="1"/>
    <n v="40000"/>
    <n v="2"/>
    <x v="0"/>
    <x v="4"/>
    <x v="0"/>
    <n v="2"/>
    <s v="0-1 Miles"/>
    <x v="1"/>
    <n v="67"/>
    <x v="4"/>
    <x v="0"/>
  </r>
  <r>
    <n v="19389"/>
    <x v="1"/>
    <x v="1"/>
    <n v="30000"/>
    <n v="0"/>
    <x v="1"/>
    <x v="1"/>
    <x v="1"/>
    <n v="1"/>
    <s v="2-5 Miles"/>
    <x v="0"/>
    <n v="28"/>
    <x v="3"/>
    <x v="0"/>
  </r>
  <r>
    <n v="17048"/>
    <x v="1"/>
    <x v="0"/>
    <n v="90000"/>
    <n v="1"/>
    <x v="4"/>
    <x v="4"/>
    <x v="0"/>
    <n v="0"/>
    <s v="0-1 Miles"/>
    <x v="1"/>
    <n v="36"/>
    <x v="0"/>
    <x v="1"/>
  </r>
  <r>
    <n v="22204"/>
    <x v="0"/>
    <x v="1"/>
    <n v="110000"/>
    <n v="4"/>
    <x v="0"/>
    <x v="4"/>
    <x v="0"/>
    <n v="3"/>
    <s v="2-5 Miles"/>
    <x v="1"/>
    <n v="48"/>
    <x v="2"/>
    <x v="0"/>
  </r>
  <r>
    <n v="12718"/>
    <x v="1"/>
    <x v="0"/>
    <n v="30000"/>
    <n v="0"/>
    <x v="1"/>
    <x v="1"/>
    <x v="0"/>
    <n v="1"/>
    <s v="2-5 Miles"/>
    <x v="0"/>
    <n v="31"/>
    <x v="3"/>
    <x v="0"/>
  </r>
  <r>
    <n v="15019"/>
    <x v="1"/>
    <x v="0"/>
    <n v="30000"/>
    <n v="3"/>
    <x v="2"/>
    <x v="0"/>
    <x v="0"/>
    <n v="2"/>
    <s v="5-10 Miles"/>
    <x v="1"/>
    <n v="55"/>
    <x v="2"/>
    <x v="0"/>
  </r>
  <r>
    <n v="28488"/>
    <x v="1"/>
    <x v="1"/>
    <n v="20000"/>
    <n v="0"/>
    <x v="1"/>
    <x v="3"/>
    <x v="0"/>
    <n v="0"/>
    <s v="0-1 Miles"/>
    <x v="1"/>
    <n v="28"/>
    <x v="3"/>
    <x v="1"/>
  </r>
  <r>
    <n v="21891"/>
    <x v="0"/>
    <x v="0"/>
    <n v="110000"/>
    <n v="0"/>
    <x v="2"/>
    <x v="4"/>
    <x v="0"/>
    <n v="3"/>
    <s v="10+ Miles"/>
    <x v="1"/>
    <n v="34"/>
    <x v="3"/>
    <x v="1"/>
  </r>
  <r>
    <n v="27814"/>
    <x v="1"/>
    <x v="0"/>
    <n v="30000"/>
    <n v="3"/>
    <x v="1"/>
    <x v="1"/>
    <x v="1"/>
    <n v="1"/>
    <s v="0-1 Miles"/>
    <x v="0"/>
    <n v="26"/>
    <x v="3"/>
    <x v="0"/>
  </r>
  <r>
    <n v="22175"/>
    <x v="0"/>
    <x v="0"/>
    <n v="30000"/>
    <n v="3"/>
    <x v="2"/>
    <x v="0"/>
    <x v="0"/>
    <n v="2"/>
    <s v="5-10 Miles"/>
    <x v="1"/>
    <n v="53"/>
    <x v="2"/>
    <x v="1"/>
  </r>
  <r>
    <n v="29447"/>
    <x v="1"/>
    <x v="0"/>
    <n v="10000"/>
    <n v="2"/>
    <x v="0"/>
    <x v="1"/>
    <x v="1"/>
    <n v="1"/>
    <s v="2-5 Miles"/>
    <x v="0"/>
    <n v="68"/>
    <x v="4"/>
    <x v="0"/>
  </r>
  <r>
    <n v="19784"/>
    <x v="0"/>
    <x v="0"/>
    <n v="80000"/>
    <n v="2"/>
    <x v="2"/>
    <x v="0"/>
    <x v="0"/>
    <n v="2"/>
    <s v="5-10 Miles"/>
    <x v="1"/>
    <n v="50"/>
    <x v="2"/>
    <x v="1"/>
  </r>
  <r>
    <n v="27824"/>
    <x v="1"/>
    <x v="0"/>
    <n v="30000"/>
    <n v="3"/>
    <x v="1"/>
    <x v="1"/>
    <x v="0"/>
    <n v="2"/>
    <s v="0-1 Miles"/>
    <x v="0"/>
    <n v="28"/>
    <x v="3"/>
    <x v="1"/>
  </r>
  <r>
    <n v="24093"/>
    <x v="1"/>
    <x v="0"/>
    <n v="80000"/>
    <n v="0"/>
    <x v="4"/>
    <x v="0"/>
    <x v="1"/>
    <n v="0"/>
    <s v="0-1 Miles"/>
    <x v="0"/>
    <n v="40"/>
    <x v="0"/>
    <x v="1"/>
  </r>
  <r>
    <n v="19618"/>
    <x v="0"/>
    <x v="1"/>
    <n v="70000"/>
    <n v="5"/>
    <x v="1"/>
    <x v="0"/>
    <x v="0"/>
    <n v="2"/>
    <s v="0-1 Miles"/>
    <x v="1"/>
    <n v="44"/>
    <x v="0"/>
    <x v="0"/>
  </r>
  <r>
    <n v="21561"/>
    <x v="1"/>
    <x v="1"/>
    <n v="90000"/>
    <n v="0"/>
    <x v="0"/>
    <x v="2"/>
    <x v="1"/>
    <n v="3"/>
    <s v="10+ Miles"/>
    <x v="1"/>
    <n v="34"/>
    <x v="3"/>
    <x v="1"/>
  </r>
  <r>
    <n v="11061"/>
    <x v="0"/>
    <x v="1"/>
    <n v="70000"/>
    <n v="2"/>
    <x v="1"/>
    <x v="0"/>
    <x v="0"/>
    <n v="2"/>
    <s v="5-10 Miles"/>
    <x v="1"/>
    <n v="52"/>
    <x v="2"/>
    <x v="1"/>
  </r>
  <r>
    <n v="26651"/>
    <x v="1"/>
    <x v="1"/>
    <n v="80000"/>
    <n v="4"/>
    <x v="4"/>
    <x v="4"/>
    <x v="0"/>
    <n v="0"/>
    <s v="0-1 Miles"/>
    <x v="1"/>
    <n v="36"/>
    <x v="0"/>
    <x v="1"/>
  </r>
  <r>
    <n v="21108"/>
    <x v="0"/>
    <x v="0"/>
    <n v="40000"/>
    <n v="1"/>
    <x v="0"/>
    <x v="0"/>
    <x v="0"/>
    <n v="1"/>
    <s v="0-1 Miles"/>
    <x v="0"/>
    <n v="43"/>
    <x v="0"/>
    <x v="1"/>
  </r>
  <r>
    <n v="12731"/>
    <x v="1"/>
    <x v="1"/>
    <n v="30000"/>
    <n v="0"/>
    <x v="2"/>
    <x v="3"/>
    <x v="1"/>
    <n v="1"/>
    <s v="1-2 Miles"/>
    <x v="0"/>
    <n v="32"/>
    <x v="3"/>
    <x v="0"/>
  </r>
  <r>
    <n v="25307"/>
    <x v="0"/>
    <x v="0"/>
    <n v="40000"/>
    <n v="1"/>
    <x v="0"/>
    <x v="0"/>
    <x v="0"/>
    <n v="1"/>
    <s v="1-2 Miles"/>
    <x v="0"/>
    <n v="32"/>
    <x v="3"/>
    <x v="1"/>
  </r>
  <r>
    <n v="14278"/>
    <x v="0"/>
    <x v="0"/>
    <n v="130000"/>
    <n v="0"/>
    <x v="4"/>
    <x v="4"/>
    <x v="0"/>
    <n v="1"/>
    <s v="10+ Miles"/>
    <x v="1"/>
    <n v="48"/>
    <x v="2"/>
    <x v="0"/>
  </r>
  <r>
    <n v="20711"/>
    <x v="0"/>
    <x v="0"/>
    <n v="40000"/>
    <n v="1"/>
    <x v="0"/>
    <x v="0"/>
    <x v="0"/>
    <n v="0"/>
    <s v="1-2 Miles"/>
    <x v="0"/>
    <n v="32"/>
    <x v="3"/>
    <x v="1"/>
  </r>
  <r>
    <n v="11383"/>
    <x v="0"/>
    <x v="0"/>
    <n v="30000"/>
    <n v="3"/>
    <x v="4"/>
    <x v="1"/>
    <x v="0"/>
    <n v="0"/>
    <s v="0-1 Miles"/>
    <x v="0"/>
    <n v="46"/>
    <x v="2"/>
    <x v="0"/>
  </r>
  <r>
    <n v="12497"/>
    <x v="0"/>
    <x v="0"/>
    <n v="40000"/>
    <n v="1"/>
    <x v="0"/>
    <x v="0"/>
    <x v="0"/>
    <n v="0"/>
    <s v="0-1 Miles"/>
    <x v="0"/>
    <n v="42"/>
    <x v="0"/>
    <x v="0"/>
  </r>
  <r>
    <n v="16559"/>
    <x v="1"/>
    <x v="0"/>
    <n v="10000"/>
    <n v="2"/>
    <x v="2"/>
    <x v="3"/>
    <x v="0"/>
    <n v="0"/>
    <s v="0-1 Miles"/>
    <x v="0"/>
    <n v="36"/>
    <x v="0"/>
    <x v="1"/>
  </r>
  <r>
    <n v="11585"/>
    <x v="0"/>
    <x v="0"/>
    <n v="40000"/>
    <n v="1"/>
    <x v="0"/>
    <x v="0"/>
    <x v="0"/>
    <n v="0"/>
    <s v="0-1 Miles"/>
    <x v="0"/>
    <n v="41"/>
    <x v="0"/>
    <x v="0"/>
  </r>
  <r>
    <n v="20277"/>
    <x v="0"/>
    <x v="0"/>
    <n v="30000"/>
    <n v="2"/>
    <x v="1"/>
    <x v="1"/>
    <x v="1"/>
    <n v="2"/>
    <s v="0-1 Miles"/>
    <x v="1"/>
    <n v="69"/>
    <x v="4"/>
    <x v="0"/>
  </r>
  <r>
    <n v="26765"/>
    <x v="1"/>
    <x v="0"/>
    <n v="70000"/>
    <n v="5"/>
    <x v="1"/>
    <x v="0"/>
    <x v="0"/>
    <n v="2"/>
    <s v="5-10 Miles"/>
    <x v="1"/>
    <n v="45"/>
    <x v="0"/>
    <x v="0"/>
  </r>
  <r>
    <n v="12389"/>
    <x v="1"/>
    <x v="1"/>
    <n v="30000"/>
    <n v="0"/>
    <x v="2"/>
    <x v="3"/>
    <x v="1"/>
    <n v="1"/>
    <s v="2-5 Miles"/>
    <x v="0"/>
    <n v="34"/>
    <x v="3"/>
    <x v="0"/>
  </r>
  <r>
    <n v="13585"/>
    <x v="0"/>
    <x v="0"/>
    <n v="80000"/>
    <n v="4"/>
    <x v="1"/>
    <x v="2"/>
    <x v="1"/>
    <n v="1"/>
    <s v="2-5 Miles"/>
    <x v="0"/>
    <n v="53"/>
    <x v="2"/>
    <x v="1"/>
  </r>
  <r>
    <n v="26385"/>
    <x v="1"/>
    <x v="1"/>
    <n v="120000"/>
    <n v="3"/>
    <x v="2"/>
    <x v="2"/>
    <x v="1"/>
    <n v="4"/>
    <s v="5-10 Miles"/>
    <x v="0"/>
    <n v="50"/>
    <x v="2"/>
    <x v="0"/>
  </r>
  <r>
    <n v="12236"/>
    <x v="0"/>
    <x v="0"/>
    <n v="20000"/>
    <n v="1"/>
    <x v="1"/>
    <x v="3"/>
    <x v="0"/>
    <n v="0"/>
    <s v="0-1 Miles"/>
    <x v="0"/>
    <n v="65"/>
    <x v="1"/>
    <x v="0"/>
  </r>
  <r>
    <n v="21560"/>
    <x v="0"/>
    <x v="1"/>
    <n v="120000"/>
    <n v="0"/>
    <x v="3"/>
    <x v="2"/>
    <x v="0"/>
    <n v="4"/>
    <s v="10+ Miles"/>
    <x v="1"/>
    <n v="32"/>
    <x v="3"/>
    <x v="1"/>
  </r>
  <r>
    <n v="21554"/>
    <x v="1"/>
    <x v="0"/>
    <n v="80000"/>
    <n v="0"/>
    <x v="0"/>
    <x v="2"/>
    <x v="1"/>
    <n v="3"/>
    <s v="10+ Miles"/>
    <x v="1"/>
    <n v="33"/>
    <x v="3"/>
    <x v="0"/>
  </r>
  <r>
    <n v="13662"/>
    <x v="1"/>
    <x v="1"/>
    <n v="20000"/>
    <n v="0"/>
    <x v="3"/>
    <x v="3"/>
    <x v="0"/>
    <n v="2"/>
    <s v="1-2 Miles"/>
    <x v="0"/>
    <n v="31"/>
    <x v="3"/>
    <x v="1"/>
  </r>
  <r>
    <n v="13089"/>
    <x v="0"/>
    <x v="0"/>
    <n v="120000"/>
    <n v="1"/>
    <x v="0"/>
    <x v="4"/>
    <x v="0"/>
    <n v="2"/>
    <s v="0-1 Miles"/>
    <x v="1"/>
    <n v="46"/>
    <x v="2"/>
    <x v="1"/>
  </r>
  <r>
    <n v="14791"/>
    <x v="0"/>
    <x v="0"/>
    <n v="40000"/>
    <n v="0"/>
    <x v="0"/>
    <x v="1"/>
    <x v="0"/>
    <n v="0"/>
    <s v="0-1 Miles"/>
    <x v="0"/>
    <n v="39"/>
    <x v="0"/>
    <x v="1"/>
  </r>
  <r>
    <n v="19331"/>
    <x v="1"/>
    <x v="1"/>
    <n v="20000"/>
    <n v="2"/>
    <x v="2"/>
    <x v="3"/>
    <x v="0"/>
    <n v="1"/>
    <s v="0-1 Miles"/>
    <x v="0"/>
    <n v="40"/>
    <x v="0"/>
    <x v="0"/>
  </r>
  <r>
    <n v="17754"/>
    <x v="1"/>
    <x v="0"/>
    <n v="30000"/>
    <n v="3"/>
    <x v="0"/>
    <x v="1"/>
    <x v="0"/>
    <n v="0"/>
    <s v="0-1 Miles"/>
    <x v="0"/>
    <n v="46"/>
    <x v="2"/>
    <x v="1"/>
  </r>
  <r>
    <n v="11149"/>
    <x v="0"/>
    <x v="1"/>
    <n v="40000"/>
    <n v="2"/>
    <x v="0"/>
    <x v="4"/>
    <x v="0"/>
    <n v="2"/>
    <s v="0-1 Miles"/>
    <x v="1"/>
    <n v="65"/>
    <x v="1"/>
    <x v="0"/>
  </r>
  <r>
    <n v="16549"/>
    <x v="1"/>
    <x v="0"/>
    <n v="30000"/>
    <n v="3"/>
    <x v="0"/>
    <x v="1"/>
    <x v="0"/>
    <n v="0"/>
    <s v="0-1 Miles"/>
    <x v="0"/>
    <n v="47"/>
    <x v="2"/>
    <x v="1"/>
  </r>
  <r>
    <n v="24305"/>
    <x v="1"/>
    <x v="1"/>
    <n v="100000"/>
    <n v="1"/>
    <x v="0"/>
    <x v="4"/>
    <x v="1"/>
    <n v="3"/>
    <s v="0-1 Miles"/>
    <x v="1"/>
    <n v="46"/>
    <x v="2"/>
    <x v="1"/>
  </r>
  <r>
    <n v="18253"/>
    <x v="0"/>
    <x v="0"/>
    <n v="80000"/>
    <n v="5"/>
    <x v="4"/>
    <x v="4"/>
    <x v="0"/>
    <n v="3"/>
    <s v="0-1 Miles"/>
    <x v="1"/>
    <n v="40"/>
    <x v="0"/>
    <x v="0"/>
  </r>
  <r>
    <n v="20147"/>
    <x v="0"/>
    <x v="0"/>
    <n v="30000"/>
    <n v="1"/>
    <x v="0"/>
    <x v="1"/>
    <x v="0"/>
    <n v="0"/>
    <s v="0-1 Miles"/>
    <x v="0"/>
    <n v="65"/>
    <x v="1"/>
    <x v="0"/>
  </r>
  <r>
    <n v="15612"/>
    <x v="1"/>
    <x v="1"/>
    <n v="30000"/>
    <n v="0"/>
    <x v="2"/>
    <x v="3"/>
    <x v="1"/>
    <n v="1"/>
    <s v="1-2 Miles"/>
    <x v="0"/>
    <n v="28"/>
    <x v="3"/>
    <x v="0"/>
  </r>
  <r>
    <n v="28323"/>
    <x v="1"/>
    <x v="1"/>
    <n v="70000"/>
    <n v="0"/>
    <x v="0"/>
    <x v="2"/>
    <x v="1"/>
    <n v="2"/>
    <s v="5-10 Miles"/>
    <x v="1"/>
    <n v="43"/>
    <x v="0"/>
    <x v="1"/>
  </r>
  <r>
    <n v="22634"/>
    <x v="1"/>
    <x v="0"/>
    <n v="40000"/>
    <n v="0"/>
    <x v="4"/>
    <x v="1"/>
    <x v="0"/>
    <n v="0"/>
    <s v="0-1 Miles"/>
    <x v="0"/>
    <n v="38"/>
    <x v="0"/>
    <x v="1"/>
  </r>
  <r>
    <n v="15665"/>
    <x v="0"/>
    <x v="0"/>
    <n v="30000"/>
    <n v="0"/>
    <x v="0"/>
    <x v="1"/>
    <x v="0"/>
    <n v="0"/>
    <s v="0-1 Miles"/>
    <x v="0"/>
    <n v="47"/>
    <x v="2"/>
    <x v="1"/>
  </r>
  <r>
    <n v="27585"/>
    <x v="0"/>
    <x v="0"/>
    <n v="90000"/>
    <n v="2"/>
    <x v="0"/>
    <x v="2"/>
    <x v="1"/>
    <n v="0"/>
    <s v="0-1 Miles"/>
    <x v="1"/>
    <n v="36"/>
    <x v="0"/>
    <x v="1"/>
  </r>
  <r>
    <n v="19748"/>
    <x v="0"/>
    <x v="1"/>
    <n v="20000"/>
    <n v="4"/>
    <x v="2"/>
    <x v="0"/>
    <x v="1"/>
    <n v="2"/>
    <s v="1-2 Miles"/>
    <x v="1"/>
    <n v="60"/>
    <x v="1"/>
    <x v="0"/>
  </r>
  <r>
    <n v="21974"/>
    <x v="1"/>
    <x v="0"/>
    <n v="70000"/>
    <n v="0"/>
    <x v="0"/>
    <x v="2"/>
    <x v="0"/>
    <n v="1"/>
    <s v="5-10 Miles"/>
    <x v="1"/>
    <n v="42"/>
    <x v="0"/>
    <x v="1"/>
  </r>
  <r>
    <n v="14032"/>
    <x v="0"/>
    <x v="1"/>
    <n v="70000"/>
    <n v="2"/>
    <x v="2"/>
    <x v="0"/>
    <x v="1"/>
    <n v="2"/>
    <s v="1-2 Miles"/>
    <x v="1"/>
    <n v="50"/>
    <x v="2"/>
    <x v="1"/>
  </r>
  <r>
    <n v="22610"/>
    <x v="0"/>
    <x v="1"/>
    <n v="30000"/>
    <n v="0"/>
    <x v="0"/>
    <x v="1"/>
    <x v="0"/>
    <n v="0"/>
    <s v="0-1 Miles"/>
    <x v="0"/>
    <n v="35"/>
    <x v="3"/>
    <x v="1"/>
  </r>
  <r>
    <n v="26984"/>
    <x v="0"/>
    <x v="1"/>
    <n v="40000"/>
    <n v="1"/>
    <x v="0"/>
    <x v="0"/>
    <x v="0"/>
    <n v="1"/>
    <s v="0-1 Miles"/>
    <x v="0"/>
    <n v="32"/>
    <x v="3"/>
    <x v="1"/>
  </r>
  <r>
    <n v="18294"/>
    <x v="0"/>
    <x v="0"/>
    <n v="90000"/>
    <n v="1"/>
    <x v="0"/>
    <x v="2"/>
    <x v="0"/>
    <n v="1"/>
    <s v="5-10 Miles"/>
    <x v="1"/>
    <n v="46"/>
    <x v="2"/>
    <x v="0"/>
  </r>
  <r>
    <n v="28564"/>
    <x v="1"/>
    <x v="0"/>
    <n v="40000"/>
    <n v="2"/>
    <x v="1"/>
    <x v="1"/>
    <x v="0"/>
    <n v="0"/>
    <s v="1-2 Miles"/>
    <x v="0"/>
    <n v="33"/>
    <x v="3"/>
    <x v="1"/>
  </r>
  <r>
    <n v="28521"/>
    <x v="1"/>
    <x v="1"/>
    <n v="40000"/>
    <n v="0"/>
    <x v="4"/>
    <x v="1"/>
    <x v="1"/>
    <n v="0"/>
    <s v="0-1 Miles"/>
    <x v="0"/>
    <n v="36"/>
    <x v="0"/>
    <x v="1"/>
  </r>
  <r>
    <n v="15450"/>
    <x v="0"/>
    <x v="1"/>
    <n v="10000"/>
    <n v="1"/>
    <x v="4"/>
    <x v="1"/>
    <x v="0"/>
    <n v="0"/>
    <s v="0-1 Miles"/>
    <x v="0"/>
    <n v="70"/>
    <x v="4"/>
    <x v="0"/>
  </r>
  <r>
    <n v="25681"/>
    <x v="1"/>
    <x v="0"/>
    <n v="30000"/>
    <n v="0"/>
    <x v="1"/>
    <x v="1"/>
    <x v="1"/>
    <n v="1"/>
    <s v="2-5 Miles"/>
    <x v="0"/>
    <n v="31"/>
    <x v="3"/>
    <x v="1"/>
  </r>
  <r>
    <n v="19491"/>
    <x v="1"/>
    <x v="1"/>
    <n v="30000"/>
    <n v="2"/>
    <x v="1"/>
    <x v="1"/>
    <x v="0"/>
    <n v="2"/>
    <s v="0-1 Miles"/>
    <x v="0"/>
    <n v="42"/>
    <x v="0"/>
    <x v="0"/>
  </r>
  <r>
    <n v="26415"/>
    <x v="0"/>
    <x v="0"/>
    <n v="90000"/>
    <n v="4"/>
    <x v="3"/>
    <x v="0"/>
    <x v="0"/>
    <n v="4"/>
    <s v="10+ Miles"/>
    <x v="0"/>
    <n v="58"/>
    <x v="1"/>
    <x v="0"/>
  </r>
  <r>
    <n v="12821"/>
    <x v="0"/>
    <x v="1"/>
    <n v="40000"/>
    <n v="0"/>
    <x v="0"/>
    <x v="1"/>
    <x v="0"/>
    <n v="0"/>
    <s v="0-1 Miles"/>
    <x v="0"/>
    <n v="39"/>
    <x v="0"/>
    <x v="0"/>
  </r>
  <r>
    <n v="15629"/>
    <x v="1"/>
    <x v="0"/>
    <n v="10000"/>
    <n v="0"/>
    <x v="3"/>
    <x v="3"/>
    <x v="0"/>
    <n v="2"/>
    <s v="1-2 Miles"/>
    <x v="0"/>
    <n v="34"/>
    <x v="3"/>
    <x v="0"/>
  </r>
  <r>
    <n v="27835"/>
    <x v="0"/>
    <x v="1"/>
    <n v="20000"/>
    <n v="0"/>
    <x v="3"/>
    <x v="3"/>
    <x v="0"/>
    <n v="2"/>
    <s v="0-1 Miles"/>
    <x v="0"/>
    <n v="32"/>
    <x v="3"/>
    <x v="0"/>
  </r>
  <r>
    <n v="11738"/>
    <x v="0"/>
    <x v="1"/>
    <n v="60000"/>
    <n v="4"/>
    <x v="0"/>
    <x v="2"/>
    <x v="0"/>
    <n v="0"/>
    <s v="2-5 Miles"/>
    <x v="2"/>
    <n v="46"/>
    <x v="2"/>
    <x v="0"/>
  </r>
  <r>
    <n v="25065"/>
    <x v="0"/>
    <x v="1"/>
    <n v="70000"/>
    <n v="2"/>
    <x v="3"/>
    <x v="0"/>
    <x v="0"/>
    <n v="2"/>
    <s v="5-10 Miles"/>
    <x v="2"/>
    <n v="48"/>
    <x v="2"/>
    <x v="0"/>
  </r>
  <r>
    <n v="26238"/>
    <x v="1"/>
    <x v="0"/>
    <n v="40000"/>
    <n v="3"/>
    <x v="1"/>
    <x v="1"/>
    <x v="0"/>
    <n v="1"/>
    <s v="1-2 Miles"/>
    <x v="2"/>
    <n v="31"/>
    <x v="3"/>
    <x v="1"/>
  </r>
  <r>
    <n v="23707"/>
    <x v="1"/>
    <x v="1"/>
    <n v="70000"/>
    <n v="5"/>
    <x v="0"/>
    <x v="4"/>
    <x v="0"/>
    <n v="3"/>
    <s v="10+ Miles"/>
    <x v="2"/>
    <n v="60"/>
    <x v="1"/>
    <x v="1"/>
  </r>
  <r>
    <n v="27650"/>
    <x v="0"/>
    <x v="1"/>
    <n v="70000"/>
    <n v="4"/>
    <x v="2"/>
    <x v="2"/>
    <x v="0"/>
    <n v="0"/>
    <s v="5-10 Miles"/>
    <x v="2"/>
    <n v="51"/>
    <x v="2"/>
    <x v="0"/>
  </r>
  <r>
    <n v="24981"/>
    <x v="0"/>
    <x v="1"/>
    <n v="60000"/>
    <n v="2"/>
    <x v="1"/>
    <x v="2"/>
    <x v="0"/>
    <n v="2"/>
    <s v="10+ Miles"/>
    <x v="2"/>
    <n v="56"/>
    <x v="1"/>
    <x v="0"/>
  </r>
  <r>
    <n v="20678"/>
    <x v="1"/>
    <x v="0"/>
    <n v="60000"/>
    <n v="3"/>
    <x v="0"/>
    <x v="0"/>
    <x v="0"/>
    <n v="1"/>
    <s v="2-5 Miles"/>
    <x v="2"/>
    <n v="40"/>
    <x v="0"/>
    <x v="1"/>
  </r>
  <r>
    <n v="15302"/>
    <x v="1"/>
    <x v="0"/>
    <n v="70000"/>
    <n v="1"/>
    <x v="4"/>
    <x v="2"/>
    <x v="0"/>
    <n v="0"/>
    <s v="2-5 Miles"/>
    <x v="2"/>
    <n v="34"/>
    <x v="3"/>
    <x v="1"/>
  </r>
  <r>
    <n v="26012"/>
    <x v="0"/>
    <x v="1"/>
    <n v="80000"/>
    <n v="1"/>
    <x v="1"/>
    <x v="0"/>
    <x v="0"/>
    <n v="1"/>
    <s v="2-5 Miles"/>
    <x v="2"/>
    <n v="48"/>
    <x v="2"/>
    <x v="1"/>
  </r>
  <r>
    <n v="26575"/>
    <x v="1"/>
    <x v="0"/>
    <n v="40000"/>
    <n v="0"/>
    <x v="2"/>
    <x v="0"/>
    <x v="1"/>
    <n v="2"/>
    <s v="1-2 Miles"/>
    <x v="2"/>
    <n v="31"/>
    <x v="3"/>
    <x v="1"/>
  </r>
  <r>
    <n v="15559"/>
    <x v="0"/>
    <x v="1"/>
    <n v="60000"/>
    <n v="5"/>
    <x v="0"/>
    <x v="2"/>
    <x v="0"/>
    <n v="1"/>
    <s v="2-5 Miles"/>
    <x v="2"/>
    <n v="47"/>
    <x v="2"/>
    <x v="0"/>
  </r>
  <r>
    <n v="19235"/>
    <x v="0"/>
    <x v="0"/>
    <n v="50000"/>
    <n v="0"/>
    <x v="4"/>
    <x v="0"/>
    <x v="0"/>
    <n v="0"/>
    <s v="0-1 Miles"/>
    <x v="2"/>
    <n v="34"/>
    <x v="3"/>
    <x v="0"/>
  </r>
  <r>
    <n v="15275"/>
    <x v="0"/>
    <x v="1"/>
    <n v="40000"/>
    <n v="0"/>
    <x v="1"/>
    <x v="0"/>
    <x v="0"/>
    <n v="1"/>
    <s v="5-10 Miles"/>
    <x v="2"/>
    <n v="29"/>
    <x v="3"/>
    <x v="0"/>
  </r>
  <r>
    <n v="20339"/>
    <x v="0"/>
    <x v="0"/>
    <n v="130000"/>
    <n v="1"/>
    <x v="0"/>
    <x v="4"/>
    <x v="0"/>
    <n v="4"/>
    <s v="2-5 Miles"/>
    <x v="2"/>
    <n v="44"/>
    <x v="0"/>
    <x v="1"/>
  </r>
  <r>
    <n v="25405"/>
    <x v="0"/>
    <x v="1"/>
    <n v="70000"/>
    <n v="2"/>
    <x v="0"/>
    <x v="0"/>
    <x v="0"/>
    <n v="1"/>
    <s v="2-5 Miles"/>
    <x v="2"/>
    <n v="38"/>
    <x v="0"/>
    <x v="1"/>
  </r>
  <r>
    <n v="15940"/>
    <x v="0"/>
    <x v="1"/>
    <n v="100000"/>
    <n v="4"/>
    <x v="1"/>
    <x v="2"/>
    <x v="0"/>
    <n v="4"/>
    <s v="0-1 Miles"/>
    <x v="2"/>
    <n v="40"/>
    <x v="0"/>
    <x v="0"/>
  </r>
  <r>
    <n v="25074"/>
    <x v="0"/>
    <x v="0"/>
    <n v="70000"/>
    <n v="4"/>
    <x v="0"/>
    <x v="2"/>
    <x v="0"/>
    <n v="2"/>
    <s v="2-5 Miles"/>
    <x v="2"/>
    <n v="42"/>
    <x v="0"/>
    <x v="1"/>
  </r>
  <r>
    <n v="24738"/>
    <x v="0"/>
    <x v="0"/>
    <n v="40000"/>
    <n v="1"/>
    <x v="1"/>
    <x v="1"/>
    <x v="0"/>
    <n v="1"/>
    <s v="1-2 Miles"/>
    <x v="2"/>
    <n v="51"/>
    <x v="2"/>
    <x v="1"/>
  </r>
  <r>
    <n v="16337"/>
    <x v="0"/>
    <x v="1"/>
    <n v="60000"/>
    <n v="0"/>
    <x v="1"/>
    <x v="0"/>
    <x v="1"/>
    <n v="2"/>
    <s v="1-2 Miles"/>
    <x v="2"/>
    <n v="29"/>
    <x v="3"/>
    <x v="0"/>
  </r>
  <r>
    <n v="24357"/>
    <x v="0"/>
    <x v="1"/>
    <n v="80000"/>
    <n v="3"/>
    <x v="0"/>
    <x v="2"/>
    <x v="0"/>
    <n v="1"/>
    <s v="2-5 Miles"/>
    <x v="2"/>
    <n v="48"/>
    <x v="2"/>
    <x v="1"/>
  </r>
  <r>
    <n v="18613"/>
    <x v="1"/>
    <x v="1"/>
    <n v="70000"/>
    <n v="0"/>
    <x v="0"/>
    <x v="2"/>
    <x v="1"/>
    <n v="1"/>
    <s v="2-5 Miles"/>
    <x v="2"/>
    <n v="37"/>
    <x v="0"/>
    <x v="1"/>
  </r>
  <r>
    <n v="12207"/>
    <x v="1"/>
    <x v="1"/>
    <n v="80000"/>
    <n v="4"/>
    <x v="0"/>
    <x v="4"/>
    <x v="0"/>
    <n v="0"/>
    <s v="5-10 Miles"/>
    <x v="2"/>
    <n v="66"/>
    <x v="4"/>
    <x v="1"/>
  </r>
  <r>
    <n v="18052"/>
    <x v="0"/>
    <x v="0"/>
    <n v="60000"/>
    <n v="1"/>
    <x v="1"/>
    <x v="0"/>
    <x v="0"/>
    <n v="1"/>
    <s v="0-1 Miles"/>
    <x v="2"/>
    <n v="45"/>
    <x v="0"/>
    <x v="1"/>
  </r>
  <r>
    <n v="13353"/>
    <x v="1"/>
    <x v="0"/>
    <n v="60000"/>
    <n v="4"/>
    <x v="4"/>
    <x v="4"/>
    <x v="0"/>
    <n v="2"/>
    <s v="10+ Miles"/>
    <x v="2"/>
    <n v="61"/>
    <x v="1"/>
    <x v="1"/>
  </r>
  <r>
    <n v="19399"/>
    <x v="1"/>
    <x v="1"/>
    <n v="40000"/>
    <n v="0"/>
    <x v="0"/>
    <x v="2"/>
    <x v="1"/>
    <n v="1"/>
    <s v="2-5 Miles"/>
    <x v="2"/>
    <n v="45"/>
    <x v="0"/>
    <x v="0"/>
  </r>
  <r>
    <n v="16154"/>
    <x v="0"/>
    <x v="0"/>
    <n v="70000"/>
    <n v="5"/>
    <x v="0"/>
    <x v="2"/>
    <x v="0"/>
    <n v="2"/>
    <s v="2-5 Miles"/>
    <x v="2"/>
    <n v="47"/>
    <x v="2"/>
    <x v="0"/>
  </r>
  <r>
    <n v="22219"/>
    <x v="0"/>
    <x v="0"/>
    <n v="60000"/>
    <n v="2"/>
    <x v="2"/>
    <x v="2"/>
    <x v="0"/>
    <n v="2"/>
    <s v="5-10 Miles"/>
    <x v="2"/>
    <n v="49"/>
    <x v="2"/>
    <x v="0"/>
  </r>
  <r>
    <n v="17269"/>
    <x v="1"/>
    <x v="1"/>
    <n v="60000"/>
    <n v="3"/>
    <x v="0"/>
    <x v="2"/>
    <x v="1"/>
    <n v="0"/>
    <s v="0-1 Miles"/>
    <x v="2"/>
    <n v="47"/>
    <x v="2"/>
    <x v="1"/>
  </r>
  <r>
    <n v="23586"/>
    <x v="0"/>
    <x v="0"/>
    <n v="80000"/>
    <n v="0"/>
    <x v="0"/>
    <x v="4"/>
    <x v="0"/>
    <n v="1"/>
    <s v="1-2 Miles"/>
    <x v="2"/>
    <n v="34"/>
    <x v="3"/>
    <x v="1"/>
  </r>
  <r>
    <n v="15740"/>
    <x v="0"/>
    <x v="1"/>
    <n v="80000"/>
    <n v="5"/>
    <x v="0"/>
    <x v="4"/>
    <x v="0"/>
    <n v="2"/>
    <s v="1-2 Miles"/>
    <x v="2"/>
    <n v="64"/>
    <x v="1"/>
    <x v="0"/>
  </r>
  <r>
    <n v="27638"/>
    <x v="1"/>
    <x v="1"/>
    <n v="100000"/>
    <n v="1"/>
    <x v="1"/>
    <x v="2"/>
    <x v="1"/>
    <n v="3"/>
    <s v="1-2 Miles"/>
    <x v="2"/>
    <n v="44"/>
    <x v="0"/>
    <x v="0"/>
  </r>
  <r>
    <n v="18976"/>
    <x v="1"/>
    <x v="1"/>
    <n v="40000"/>
    <n v="4"/>
    <x v="2"/>
    <x v="2"/>
    <x v="0"/>
    <n v="2"/>
    <s v="10+ Miles"/>
    <x v="2"/>
    <n v="62"/>
    <x v="1"/>
    <x v="1"/>
  </r>
  <r>
    <n v="19413"/>
    <x v="1"/>
    <x v="1"/>
    <n v="60000"/>
    <n v="3"/>
    <x v="0"/>
    <x v="2"/>
    <x v="1"/>
    <n v="1"/>
    <s v="0-1 Miles"/>
    <x v="2"/>
    <n v="47"/>
    <x v="2"/>
    <x v="1"/>
  </r>
  <r>
    <n v="13283"/>
    <x v="0"/>
    <x v="1"/>
    <n v="80000"/>
    <n v="3"/>
    <x v="1"/>
    <x v="2"/>
    <x v="1"/>
    <n v="2"/>
    <s v="0-1 Miles"/>
    <x v="2"/>
    <n v="49"/>
    <x v="2"/>
    <x v="1"/>
  </r>
  <r>
    <n v="17471"/>
    <x v="1"/>
    <x v="0"/>
    <n v="80000"/>
    <n v="4"/>
    <x v="4"/>
    <x v="4"/>
    <x v="0"/>
    <n v="2"/>
    <s v="5-10 Miles"/>
    <x v="2"/>
    <n v="67"/>
    <x v="4"/>
    <x v="0"/>
  </r>
  <r>
    <n v="16791"/>
    <x v="1"/>
    <x v="1"/>
    <n v="60000"/>
    <n v="5"/>
    <x v="0"/>
    <x v="4"/>
    <x v="0"/>
    <n v="3"/>
    <s v="10+ Miles"/>
    <x v="2"/>
    <n v="59"/>
    <x v="1"/>
    <x v="1"/>
  </r>
  <r>
    <n v="15382"/>
    <x v="0"/>
    <x v="0"/>
    <n v="110000"/>
    <n v="1"/>
    <x v="0"/>
    <x v="4"/>
    <x v="0"/>
    <n v="2"/>
    <s v="1-2 Miles"/>
    <x v="2"/>
    <n v="44"/>
    <x v="0"/>
    <x v="0"/>
  </r>
  <r>
    <n v="11641"/>
    <x v="0"/>
    <x v="1"/>
    <n v="50000"/>
    <n v="1"/>
    <x v="0"/>
    <x v="0"/>
    <x v="0"/>
    <n v="0"/>
    <s v="0-1 Miles"/>
    <x v="2"/>
    <n v="36"/>
    <x v="0"/>
    <x v="0"/>
  </r>
  <r>
    <n v="11935"/>
    <x v="1"/>
    <x v="0"/>
    <n v="30000"/>
    <n v="0"/>
    <x v="1"/>
    <x v="0"/>
    <x v="0"/>
    <n v="1"/>
    <s v="5-10 Miles"/>
    <x v="2"/>
    <n v="28"/>
    <x v="3"/>
    <x v="0"/>
  </r>
  <r>
    <n v="13233"/>
    <x v="0"/>
    <x v="1"/>
    <n v="60000"/>
    <n v="2"/>
    <x v="1"/>
    <x v="2"/>
    <x v="0"/>
    <n v="1"/>
    <s v="10+ Miles"/>
    <x v="2"/>
    <n v="57"/>
    <x v="1"/>
    <x v="1"/>
  </r>
  <r>
    <n v="25909"/>
    <x v="0"/>
    <x v="1"/>
    <n v="60000"/>
    <n v="0"/>
    <x v="1"/>
    <x v="0"/>
    <x v="0"/>
    <n v="1"/>
    <s v="5-10 Miles"/>
    <x v="2"/>
    <n v="27"/>
    <x v="3"/>
    <x v="1"/>
  </r>
  <r>
    <n v="14092"/>
    <x v="1"/>
    <x v="1"/>
    <n v="30000"/>
    <n v="0"/>
    <x v="3"/>
    <x v="1"/>
    <x v="0"/>
    <n v="2"/>
    <s v="5-10 Miles"/>
    <x v="2"/>
    <n v="28"/>
    <x v="3"/>
    <x v="0"/>
  </r>
  <r>
    <n v="29143"/>
    <x v="1"/>
    <x v="0"/>
    <n v="60000"/>
    <n v="1"/>
    <x v="0"/>
    <x v="2"/>
    <x v="1"/>
    <n v="1"/>
    <s v="0-1 Miles"/>
    <x v="2"/>
    <n v="44"/>
    <x v="0"/>
    <x v="1"/>
  </r>
  <r>
    <n v="24941"/>
    <x v="0"/>
    <x v="1"/>
    <n v="60000"/>
    <n v="3"/>
    <x v="0"/>
    <x v="4"/>
    <x v="0"/>
    <n v="2"/>
    <s v="10+ Miles"/>
    <x v="2"/>
    <n v="66"/>
    <x v="4"/>
    <x v="0"/>
  </r>
  <r>
    <n v="24637"/>
    <x v="0"/>
    <x v="1"/>
    <n v="40000"/>
    <n v="4"/>
    <x v="2"/>
    <x v="2"/>
    <x v="0"/>
    <n v="2"/>
    <s v="10+ Miles"/>
    <x v="2"/>
    <n v="64"/>
    <x v="1"/>
    <x v="0"/>
  </r>
  <r>
    <n v="23893"/>
    <x v="0"/>
    <x v="1"/>
    <n v="50000"/>
    <n v="3"/>
    <x v="0"/>
    <x v="0"/>
    <x v="0"/>
    <n v="3"/>
    <s v="10+ Miles"/>
    <x v="2"/>
    <n v="41"/>
    <x v="0"/>
    <x v="0"/>
  </r>
  <r>
    <n v="13907"/>
    <x v="1"/>
    <x v="0"/>
    <n v="80000"/>
    <n v="3"/>
    <x v="0"/>
    <x v="0"/>
    <x v="0"/>
    <n v="1"/>
    <s v="0-1 Miles"/>
    <x v="2"/>
    <n v="41"/>
    <x v="0"/>
    <x v="1"/>
  </r>
  <r>
    <n v="14900"/>
    <x v="0"/>
    <x v="0"/>
    <n v="40000"/>
    <n v="1"/>
    <x v="1"/>
    <x v="1"/>
    <x v="0"/>
    <n v="1"/>
    <s v="1-2 Miles"/>
    <x v="2"/>
    <n v="49"/>
    <x v="2"/>
    <x v="1"/>
  </r>
  <r>
    <n v="11262"/>
    <x v="0"/>
    <x v="0"/>
    <n v="80000"/>
    <n v="4"/>
    <x v="0"/>
    <x v="4"/>
    <x v="0"/>
    <n v="0"/>
    <s v="0-1 Miles"/>
    <x v="2"/>
    <n v="42"/>
    <x v="0"/>
    <x v="0"/>
  </r>
  <r>
    <n v="22294"/>
    <x v="1"/>
    <x v="0"/>
    <n v="70000"/>
    <n v="0"/>
    <x v="0"/>
    <x v="2"/>
    <x v="1"/>
    <n v="1"/>
    <s v="2-5 Miles"/>
    <x v="2"/>
    <n v="37"/>
    <x v="0"/>
    <x v="1"/>
  </r>
  <r>
    <n v="12195"/>
    <x v="1"/>
    <x v="0"/>
    <n v="70000"/>
    <n v="3"/>
    <x v="4"/>
    <x v="4"/>
    <x v="0"/>
    <n v="2"/>
    <s v="1-2 Miles"/>
    <x v="2"/>
    <n v="52"/>
    <x v="2"/>
    <x v="0"/>
  </r>
  <r>
    <n v="25375"/>
    <x v="0"/>
    <x v="1"/>
    <n v="50000"/>
    <n v="1"/>
    <x v="4"/>
    <x v="0"/>
    <x v="0"/>
    <n v="0"/>
    <s v="1-2 Miles"/>
    <x v="2"/>
    <n v="34"/>
    <x v="3"/>
    <x v="0"/>
  </r>
  <r>
    <n v="11143"/>
    <x v="0"/>
    <x v="1"/>
    <n v="40000"/>
    <n v="0"/>
    <x v="2"/>
    <x v="0"/>
    <x v="0"/>
    <n v="2"/>
    <s v="5-10 Miles"/>
    <x v="2"/>
    <n v="29"/>
    <x v="3"/>
    <x v="0"/>
  </r>
  <r>
    <n v="25898"/>
    <x v="0"/>
    <x v="0"/>
    <n v="70000"/>
    <n v="2"/>
    <x v="2"/>
    <x v="2"/>
    <x v="0"/>
    <n v="2"/>
    <s v="2-5 Miles"/>
    <x v="2"/>
    <n v="53"/>
    <x v="2"/>
    <x v="0"/>
  </r>
  <r>
    <n v="24397"/>
    <x v="1"/>
    <x v="1"/>
    <n v="120000"/>
    <n v="2"/>
    <x v="0"/>
    <x v="4"/>
    <x v="1"/>
    <n v="4"/>
    <s v="1-2 Miles"/>
    <x v="2"/>
    <n v="40"/>
    <x v="0"/>
    <x v="0"/>
  </r>
  <r>
    <n v="19758"/>
    <x v="1"/>
    <x v="1"/>
    <n v="60000"/>
    <n v="0"/>
    <x v="1"/>
    <x v="0"/>
    <x v="1"/>
    <n v="2"/>
    <s v="1-2 Miles"/>
    <x v="2"/>
    <n v="29"/>
    <x v="3"/>
    <x v="0"/>
  </r>
  <r>
    <n v="15529"/>
    <x v="0"/>
    <x v="1"/>
    <n v="60000"/>
    <n v="4"/>
    <x v="0"/>
    <x v="2"/>
    <x v="0"/>
    <n v="2"/>
    <s v="2-5 Miles"/>
    <x v="2"/>
    <n v="43"/>
    <x v="0"/>
    <x v="1"/>
  </r>
  <r>
    <n v="19884"/>
    <x v="0"/>
    <x v="1"/>
    <n v="60000"/>
    <n v="2"/>
    <x v="2"/>
    <x v="2"/>
    <x v="0"/>
    <n v="2"/>
    <s v="2-5 Miles"/>
    <x v="2"/>
    <n v="55"/>
    <x v="2"/>
    <x v="1"/>
  </r>
  <r>
    <n v="18674"/>
    <x v="1"/>
    <x v="0"/>
    <n v="80000"/>
    <n v="4"/>
    <x v="4"/>
    <x v="0"/>
    <x v="1"/>
    <n v="0"/>
    <s v="0-1 Miles"/>
    <x v="2"/>
    <n v="48"/>
    <x v="2"/>
    <x v="0"/>
  </r>
  <r>
    <n v="13453"/>
    <x v="0"/>
    <x v="0"/>
    <n v="130000"/>
    <n v="3"/>
    <x v="0"/>
    <x v="4"/>
    <x v="0"/>
    <n v="3"/>
    <s v="0-1 Miles"/>
    <x v="2"/>
    <n v="45"/>
    <x v="0"/>
    <x v="1"/>
  </r>
  <r>
    <n v="14063"/>
    <x v="1"/>
    <x v="0"/>
    <n v="70000"/>
    <n v="0"/>
    <x v="0"/>
    <x v="2"/>
    <x v="1"/>
    <n v="1"/>
    <s v="0-1 Miles"/>
    <x v="1"/>
    <n v="42"/>
    <x v="0"/>
    <x v="1"/>
  </r>
  <r>
    <n v="27393"/>
    <x v="0"/>
    <x v="0"/>
    <n v="50000"/>
    <n v="4"/>
    <x v="0"/>
    <x v="4"/>
    <x v="0"/>
    <n v="2"/>
    <s v="10+ Miles"/>
    <x v="2"/>
    <n v="63"/>
    <x v="1"/>
    <x v="0"/>
  </r>
  <r>
    <n v="14417"/>
    <x v="1"/>
    <x v="1"/>
    <n v="60000"/>
    <n v="3"/>
    <x v="2"/>
    <x v="2"/>
    <x v="0"/>
    <n v="2"/>
    <s v="10+ Miles"/>
    <x v="2"/>
    <n v="54"/>
    <x v="2"/>
    <x v="1"/>
  </r>
  <r>
    <n v="17533"/>
    <x v="0"/>
    <x v="1"/>
    <n v="40000"/>
    <n v="3"/>
    <x v="1"/>
    <x v="2"/>
    <x v="1"/>
    <n v="2"/>
    <s v="5-10 Miles"/>
    <x v="2"/>
    <n v="73"/>
    <x v="4"/>
    <x v="1"/>
  </r>
  <r>
    <n v="18580"/>
    <x v="0"/>
    <x v="0"/>
    <n v="60000"/>
    <n v="2"/>
    <x v="4"/>
    <x v="2"/>
    <x v="0"/>
    <n v="0"/>
    <s v="2-5 Miles"/>
    <x v="2"/>
    <n v="40"/>
    <x v="0"/>
    <x v="1"/>
  </r>
  <r>
    <n v="17025"/>
    <x v="1"/>
    <x v="1"/>
    <n v="50000"/>
    <n v="0"/>
    <x v="1"/>
    <x v="0"/>
    <x v="1"/>
    <n v="1"/>
    <s v="2-5 Miles"/>
    <x v="2"/>
    <n v="39"/>
    <x v="0"/>
    <x v="1"/>
  </r>
  <r>
    <n v="25293"/>
    <x v="0"/>
    <x v="1"/>
    <n v="80000"/>
    <n v="4"/>
    <x v="0"/>
    <x v="4"/>
    <x v="0"/>
    <n v="0"/>
    <s v="1-2 Miles"/>
    <x v="2"/>
    <n v="42"/>
    <x v="0"/>
    <x v="0"/>
  </r>
  <r>
    <n v="24725"/>
    <x v="0"/>
    <x v="0"/>
    <n v="40000"/>
    <n v="3"/>
    <x v="1"/>
    <x v="1"/>
    <x v="0"/>
    <n v="0"/>
    <s v="1-2 Miles"/>
    <x v="2"/>
    <n v="31"/>
    <x v="3"/>
    <x v="0"/>
  </r>
  <r>
    <n v="23200"/>
    <x v="0"/>
    <x v="0"/>
    <n v="50000"/>
    <n v="3"/>
    <x v="0"/>
    <x v="0"/>
    <x v="0"/>
    <n v="2"/>
    <s v="0-1 Miles"/>
    <x v="2"/>
    <n v="41"/>
    <x v="0"/>
    <x v="0"/>
  </r>
  <r>
    <n v="15895"/>
    <x v="1"/>
    <x v="0"/>
    <n v="60000"/>
    <n v="2"/>
    <x v="0"/>
    <x v="4"/>
    <x v="0"/>
    <n v="0"/>
    <s v="10+ Miles"/>
    <x v="2"/>
    <n v="58"/>
    <x v="1"/>
    <x v="0"/>
  </r>
  <r>
    <n v="18577"/>
    <x v="0"/>
    <x v="0"/>
    <n v="60000"/>
    <n v="0"/>
    <x v="4"/>
    <x v="2"/>
    <x v="0"/>
    <n v="0"/>
    <s v="0-1 Miles"/>
    <x v="2"/>
    <n v="40"/>
    <x v="0"/>
    <x v="0"/>
  </r>
  <r>
    <n v="27218"/>
    <x v="0"/>
    <x v="0"/>
    <n v="20000"/>
    <n v="2"/>
    <x v="3"/>
    <x v="1"/>
    <x v="1"/>
    <n v="0"/>
    <s v="0-1 Miles"/>
    <x v="2"/>
    <n v="48"/>
    <x v="2"/>
    <x v="0"/>
  </r>
  <r>
    <n v="18560"/>
    <x v="0"/>
    <x v="0"/>
    <n v="70000"/>
    <n v="2"/>
    <x v="4"/>
    <x v="2"/>
    <x v="0"/>
    <n v="0"/>
    <s v="2-5 Miles"/>
    <x v="2"/>
    <n v="34"/>
    <x v="3"/>
    <x v="1"/>
  </r>
  <r>
    <n v="25006"/>
    <x v="1"/>
    <x v="0"/>
    <n v="30000"/>
    <n v="0"/>
    <x v="1"/>
    <x v="0"/>
    <x v="0"/>
    <n v="1"/>
    <s v="5-10 Miles"/>
    <x v="2"/>
    <n v="28"/>
    <x v="3"/>
    <x v="0"/>
  </r>
  <r>
    <n v="17369"/>
    <x v="1"/>
    <x v="1"/>
    <n v="30000"/>
    <n v="0"/>
    <x v="1"/>
    <x v="0"/>
    <x v="0"/>
    <n v="1"/>
    <s v="5-10 Miles"/>
    <x v="2"/>
    <n v="27"/>
    <x v="3"/>
    <x v="0"/>
  </r>
  <r>
    <n v="14495"/>
    <x v="0"/>
    <x v="1"/>
    <n v="40000"/>
    <n v="3"/>
    <x v="1"/>
    <x v="2"/>
    <x v="1"/>
    <n v="2"/>
    <s v="5-10 Miles"/>
    <x v="2"/>
    <n v="54"/>
    <x v="2"/>
    <x v="1"/>
  </r>
  <r>
    <n v="18847"/>
    <x v="0"/>
    <x v="0"/>
    <n v="60000"/>
    <n v="2"/>
    <x v="4"/>
    <x v="4"/>
    <x v="0"/>
    <n v="2"/>
    <s v="5-10 Miles"/>
    <x v="2"/>
    <n v="70"/>
    <x v="4"/>
    <x v="0"/>
  </r>
  <r>
    <n v="14754"/>
    <x v="0"/>
    <x v="1"/>
    <n v="40000"/>
    <n v="1"/>
    <x v="1"/>
    <x v="1"/>
    <x v="0"/>
    <n v="1"/>
    <s v="1-2 Miles"/>
    <x v="2"/>
    <n v="48"/>
    <x v="2"/>
    <x v="1"/>
  </r>
  <r>
    <n v="23378"/>
    <x v="0"/>
    <x v="1"/>
    <n v="70000"/>
    <n v="1"/>
    <x v="1"/>
    <x v="0"/>
    <x v="0"/>
    <n v="1"/>
    <s v="2-5 Miles"/>
    <x v="2"/>
    <n v="44"/>
    <x v="0"/>
    <x v="1"/>
  </r>
  <r>
    <n v="26452"/>
    <x v="1"/>
    <x v="1"/>
    <n v="50000"/>
    <n v="3"/>
    <x v="4"/>
    <x v="4"/>
    <x v="0"/>
    <n v="2"/>
    <s v="10+ Miles"/>
    <x v="2"/>
    <n v="69"/>
    <x v="4"/>
    <x v="0"/>
  </r>
  <r>
    <n v="20370"/>
    <x v="0"/>
    <x v="1"/>
    <n v="70000"/>
    <n v="3"/>
    <x v="3"/>
    <x v="0"/>
    <x v="0"/>
    <n v="2"/>
    <s v="5-10 Miles"/>
    <x v="2"/>
    <n v="52"/>
    <x v="2"/>
    <x v="0"/>
  </r>
  <r>
    <n v="20528"/>
    <x v="0"/>
    <x v="1"/>
    <n v="40000"/>
    <n v="2"/>
    <x v="3"/>
    <x v="0"/>
    <x v="0"/>
    <n v="2"/>
    <s v="2-5 Miles"/>
    <x v="2"/>
    <n v="55"/>
    <x v="2"/>
    <x v="0"/>
  </r>
  <r>
    <n v="23549"/>
    <x v="1"/>
    <x v="1"/>
    <n v="30000"/>
    <n v="0"/>
    <x v="2"/>
    <x v="0"/>
    <x v="0"/>
    <n v="2"/>
    <s v="5-10 Miles"/>
    <x v="2"/>
    <n v="30"/>
    <x v="3"/>
    <x v="0"/>
  </r>
  <r>
    <n v="21751"/>
    <x v="0"/>
    <x v="1"/>
    <n v="60000"/>
    <n v="3"/>
    <x v="4"/>
    <x v="4"/>
    <x v="0"/>
    <n v="2"/>
    <s v="1-2 Miles"/>
    <x v="2"/>
    <n v="63"/>
    <x v="1"/>
    <x v="0"/>
  </r>
  <r>
    <n v="21266"/>
    <x v="1"/>
    <x v="0"/>
    <n v="80000"/>
    <n v="0"/>
    <x v="0"/>
    <x v="4"/>
    <x v="0"/>
    <n v="1"/>
    <s v="1-2 Miles"/>
    <x v="2"/>
    <n v="34"/>
    <x v="3"/>
    <x v="1"/>
  </r>
  <r>
    <n v="13388"/>
    <x v="1"/>
    <x v="1"/>
    <n v="60000"/>
    <n v="2"/>
    <x v="1"/>
    <x v="2"/>
    <x v="0"/>
    <n v="1"/>
    <s v="10+ Miles"/>
    <x v="2"/>
    <n v="56"/>
    <x v="1"/>
    <x v="0"/>
  </r>
  <r>
    <n v="18752"/>
    <x v="1"/>
    <x v="0"/>
    <n v="40000"/>
    <n v="0"/>
    <x v="2"/>
    <x v="0"/>
    <x v="0"/>
    <n v="1"/>
    <s v="5-10 Miles"/>
    <x v="2"/>
    <n v="31"/>
    <x v="3"/>
    <x v="0"/>
  </r>
  <r>
    <n v="16917"/>
    <x v="0"/>
    <x v="1"/>
    <n v="120000"/>
    <n v="1"/>
    <x v="0"/>
    <x v="4"/>
    <x v="0"/>
    <n v="4"/>
    <s v="0-1 Miles"/>
    <x v="2"/>
    <n v="38"/>
    <x v="0"/>
    <x v="0"/>
  </r>
  <r>
    <n v="15313"/>
    <x v="0"/>
    <x v="1"/>
    <n v="60000"/>
    <n v="4"/>
    <x v="0"/>
    <x v="4"/>
    <x v="0"/>
    <n v="2"/>
    <s v="2-5 Miles"/>
    <x v="2"/>
    <n v="59"/>
    <x v="1"/>
    <x v="0"/>
  </r>
  <r>
    <n v="25329"/>
    <x v="1"/>
    <x v="0"/>
    <n v="40000"/>
    <n v="3"/>
    <x v="1"/>
    <x v="1"/>
    <x v="1"/>
    <n v="2"/>
    <s v="0-1 Miles"/>
    <x v="2"/>
    <n v="32"/>
    <x v="3"/>
    <x v="0"/>
  </r>
  <r>
    <n v="20380"/>
    <x v="0"/>
    <x v="0"/>
    <n v="60000"/>
    <n v="3"/>
    <x v="4"/>
    <x v="4"/>
    <x v="0"/>
    <n v="2"/>
    <s v="10+ Miles"/>
    <x v="2"/>
    <n v="69"/>
    <x v="4"/>
    <x v="0"/>
  </r>
  <r>
    <n v="23089"/>
    <x v="0"/>
    <x v="1"/>
    <n v="40000"/>
    <n v="0"/>
    <x v="1"/>
    <x v="0"/>
    <x v="0"/>
    <n v="1"/>
    <s v="5-10 Miles"/>
    <x v="2"/>
    <n v="28"/>
    <x v="3"/>
    <x v="0"/>
  </r>
  <r>
    <n v="13749"/>
    <x v="0"/>
    <x v="1"/>
    <n v="80000"/>
    <n v="4"/>
    <x v="4"/>
    <x v="0"/>
    <x v="0"/>
    <n v="0"/>
    <s v="1-2 Miles"/>
    <x v="2"/>
    <n v="47"/>
    <x v="2"/>
    <x v="0"/>
  </r>
  <r>
    <n v="24943"/>
    <x v="0"/>
    <x v="1"/>
    <n v="60000"/>
    <n v="3"/>
    <x v="0"/>
    <x v="4"/>
    <x v="0"/>
    <n v="2"/>
    <s v="10+ Miles"/>
    <x v="2"/>
    <n v="66"/>
    <x v="4"/>
    <x v="0"/>
  </r>
  <r>
    <n v="28667"/>
    <x v="1"/>
    <x v="1"/>
    <n v="70000"/>
    <n v="2"/>
    <x v="0"/>
    <x v="0"/>
    <x v="1"/>
    <n v="1"/>
    <s v="0-1 Miles"/>
    <x v="2"/>
    <n v="37"/>
    <x v="0"/>
    <x v="1"/>
  </r>
  <r>
    <n v="15194"/>
    <x v="1"/>
    <x v="1"/>
    <n v="120000"/>
    <n v="2"/>
    <x v="0"/>
    <x v="4"/>
    <x v="1"/>
    <n v="3"/>
    <s v="0-1 Miles"/>
    <x v="2"/>
    <n v="39"/>
    <x v="0"/>
    <x v="1"/>
  </r>
  <r>
    <n v="17436"/>
    <x v="0"/>
    <x v="1"/>
    <n v="60000"/>
    <n v="2"/>
    <x v="2"/>
    <x v="2"/>
    <x v="1"/>
    <n v="2"/>
    <s v="1-2 Miles"/>
    <x v="2"/>
    <n v="51"/>
    <x v="2"/>
    <x v="0"/>
  </r>
  <r>
    <n v="18935"/>
    <x v="0"/>
    <x v="0"/>
    <n v="130000"/>
    <n v="0"/>
    <x v="4"/>
    <x v="4"/>
    <x v="0"/>
    <n v="3"/>
    <s v="1-2 Miles"/>
    <x v="2"/>
    <n v="40"/>
    <x v="0"/>
    <x v="0"/>
  </r>
  <r>
    <n v="16871"/>
    <x v="0"/>
    <x v="0"/>
    <n v="90000"/>
    <n v="2"/>
    <x v="2"/>
    <x v="2"/>
    <x v="0"/>
    <n v="1"/>
    <s v="10+ Miles"/>
    <x v="2"/>
    <n v="51"/>
    <x v="2"/>
    <x v="1"/>
  </r>
  <r>
    <n v="12100"/>
    <x v="1"/>
    <x v="1"/>
    <n v="60000"/>
    <n v="2"/>
    <x v="0"/>
    <x v="4"/>
    <x v="0"/>
    <n v="0"/>
    <s v="10+ Miles"/>
    <x v="2"/>
    <n v="57"/>
    <x v="1"/>
    <x v="0"/>
  </r>
  <r>
    <n v="23158"/>
    <x v="0"/>
    <x v="0"/>
    <n v="60000"/>
    <n v="1"/>
    <x v="4"/>
    <x v="2"/>
    <x v="1"/>
    <n v="0"/>
    <s v="0-1 Miles"/>
    <x v="2"/>
    <n v="35"/>
    <x v="3"/>
    <x v="1"/>
  </r>
  <r>
    <n v="18545"/>
    <x v="0"/>
    <x v="1"/>
    <n v="40000"/>
    <n v="4"/>
    <x v="2"/>
    <x v="2"/>
    <x v="1"/>
    <n v="2"/>
    <s v="10+ Miles"/>
    <x v="2"/>
    <n v="61"/>
    <x v="1"/>
    <x v="1"/>
  </r>
  <r>
    <n v="18391"/>
    <x v="1"/>
    <x v="0"/>
    <n v="80000"/>
    <n v="5"/>
    <x v="1"/>
    <x v="2"/>
    <x v="0"/>
    <n v="2"/>
    <s v="5-10 Miles"/>
    <x v="2"/>
    <n v="44"/>
    <x v="0"/>
    <x v="0"/>
  </r>
  <r>
    <n v="19812"/>
    <x v="1"/>
    <x v="0"/>
    <n v="70000"/>
    <n v="2"/>
    <x v="1"/>
    <x v="2"/>
    <x v="0"/>
    <n v="0"/>
    <s v="5-10 Miles"/>
    <x v="2"/>
    <n v="49"/>
    <x v="2"/>
    <x v="1"/>
  </r>
  <r>
    <n v="27660"/>
    <x v="0"/>
    <x v="1"/>
    <n v="80000"/>
    <n v="4"/>
    <x v="4"/>
    <x v="4"/>
    <x v="0"/>
    <n v="2"/>
    <s v="5-10 Miles"/>
    <x v="2"/>
    <n v="70"/>
    <x v="4"/>
    <x v="0"/>
  </r>
  <r>
    <n v="18058"/>
    <x v="1"/>
    <x v="0"/>
    <n v="20000"/>
    <n v="3"/>
    <x v="2"/>
    <x v="0"/>
    <x v="0"/>
    <n v="2"/>
    <s v="2-5 Miles"/>
    <x v="2"/>
    <n v="78"/>
    <x v="4"/>
    <x v="0"/>
  </r>
  <r>
    <n v="20343"/>
    <x v="0"/>
    <x v="0"/>
    <n v="90000"/>
    <n v="4"/>
    <x v="1"/>
    <x v="2"/>
    <x v="0"/>
    <n v="1"/>
    <s v="1-2 Miles"/>
    <x v="2"/>
    <n v="45"/>
    <x v="0"/>
    <x v="0"/>
  </r>
  <r>
    <n v="28997"/>
    <x v="1"/>
    <x v="1"/>
    <n v="40000"/>
    <n v="2"/>
    <x v="2"/>
    <x v="2"/>
    <x v="1"/>
    <n v="1"/>
    <s v="2-5 Miles"/>
    <x v="2"/>
    <n v="58"/>
    <x v="1"/>
    <x v="1"/>
  </r>
  <r>
    <n v="24398"/>
    <x v="0"/>
    <x v="1"/>
    <n v="130000"/>
    <n v="1"/>
    <x v="4"/>
    <x v="4"/>
    <x v="0"/>
    <n v="4"/>
    <s v="0-1 Miles"/>
    <x v="2"/>
    <n v="41"/>
    <x v="0"/>
    <x v="0"/>
  </r>
  <r>
    <n v="19002"/>
    <x v="0"/>
    <x v="0"/>
    <n v="60000"/>
    <n v="2"/>
    <x v="1"/>
    <x v="2"/>
    <x v="0"/>
    <n v="1"/>
    <s v="2-5 Miles"/>
    <x v="2"/>
    <n v="57"/>
    <x v="1"/>
    <x v="1"/>
  </r>
  <r>
    <n v="28609"/>
    <x v="0"/>
    <x v="1"/>
    <n v="30000"/>
    <n v="2"/>
    <x v="2"/>
    <x v="0"/>
    <x v="1"/>
    <n v="2"/>
    <s v="0-1 Miles"/>
    <x v="2"/>
    <n v="49"/>
    <x v="2"/>
    <x v="0"/>
  </r>
  <r>
    <n v="29231"/>
    <x v="1"/>
    <x v="1"/>
    <n v="80000"/>
    <n v="4"/>
    <x v="1"/>
    <x v="2"/>
    <x v="1"/>
    <n v="2"/>
    <s v="0-1 Miles"/>
    <x v="2"/>
    <n v="43"/>
    <x v="0"/>
    <x v="0"/>
  </r>
  <r>
    <n v="18858"/>
    <x v="1"/>
    <x v="1"/>
    <n v="60000"/>
    <n v="2"/>
    <x v="3"/>
    <x v="0"/>
    <x v="0"/>
    <n v="2"/>
    <s v="5-10 Miles"/>
    <x v="2"/>
    <n v="52"/>
    <x v="2"/>
    <x v="1"/>
  </r>
  <r>
    <n v="20000"/>
    <x v="0"/>
    <x v="1"/>
    <n v="60000"/>
    <n v="1"/>
    <x v="4"/>
    <x v="2"/>
    <x v="0"/>
    <n v="0"/>
    <s v="0-1 Miles"/>
    <x v="2"/>
    <n v="35"/>
    <x v="3"/>
    <x v="1"/>
  </r>
  <r>
    <n v="25261"/>
    <x v="0"/>
    <x v="1"/>
    <n v="40000"/>
    <n v="0"/>
    <x v="2"/>
    <x v="0"/>
    <x v="0"/>
    <n v="2"/>
    <s v="5-10 Miles"/>
    <x v="2"/>
    <n v="27"/>
    <x v="3"/>
    <x v="0"/>
  </r>
  <r>
    <n v="17458"/>
    <x v="1"/>
    <x v="1"/>
    <n v="70000"/>
    <n v="3"/>
    <x v="2"/>
    <x v="2"/>
    <x v="0"/>
    <n v="0"/>
    <s v="5-10 Miles"/>
    <x v="2"/>
    <n v="52"/>
    <x v="2"/>
    <x v="1"/>
  </r>
  <r>
    <n v="11644"/>
    <x v="1"/>
    <x v="1"/>
    <n v="40000"/>
    <n v="2"/>
    <x v="0"/>
    <x v="0"/>
    <x v="0"/>
    <n v="0"/>
    <s v="2-5 Miles"/>
    <x v="2"/>
    <n v="36"/>
    <x v="0"/>
    <x v="0"/>
  </r>
  <r>
    <n v="16145"/>
    <x v="1"/>
    <x v="0"/>
    <n v="70000"/>
    <n v="5"/>
    <x v="4"/>
    <x v="2"/>
    <x v="0"/>
    <n v="3"/>
    <s v="10+ Miles"/>
    <x v="2"/>
    <n v="46"/>
    <x v="2"/>
    <x v="1"/>
  </r>
  <r>
    <n v="16890"/>
    <x v="0"/>
    <x v="1"/>
    <n v="60000"/>
    <n v="3"/>
    <x v="3"/>
    <x v="0"/>
    <x v="0"/>
    <n v="2"/>
    <s v="5-10 Miles"/>
    <x v="2"/>
    <n v="52"/>
    <x v="2"/>
    <x v="1"/>
  </r>
  <r>
    <n v="25983"/>
    <x v="0"/>
    <x v="1"/>
    <n v="70000"/>
    <n v="0"/>
    <x v="0"/>
    <x v="2"/>
    <x v="1"/>
    <n v="1"/>
    <s v="0-1 Miles"/>
    <x v="2"/>
    <n v="43"/>
    <x v="0"/>
    <x v="0"/>
  </r>
  <r>
    <n v="14633"/>
    <x v="0"/>
    <x v="1"/>
    <n v="60000"/>
    <n v="1"/>
    <x v="1"/>
    <x v="0"/>
    <x v="0"/>
    <n v="1"/>
    <s v="2-5 Miles"/>
    <x v="2"/>
    <n v="44"/>
    <x v="0"/>
    <x v="0"/>
  </r>
  <r>
    <n v="22994"/>
    <x v="0"/>
    <x v="0"/>
    <n v="80000"/>
    <n v="0"/>
    <x v="0"/>
    <x v="4"/>
    <x v="0"/>
    <n v="1"/>
    <s v="1-2 Miles"/>
    <x v="2"/>
    <n v="34"/>
    <x v="3"/>
    <x v="1"/>
  </r>
  <r>
    <n v="22983"/>
    <x v="1"/>
    <x v="0"/>
    <n v="30000"/>
    <n v="0"/>
    <x v="3"/>
    <x v="1"/>
    <x v="0"/>
    <n v="2"/>
    <s v="5-10 Miles"/>
    <x v="2"/>
    <n v="27"/>
    <x v="3"/>
    <x v="0"/>
  </r>
  <r>
    <n v="25184"/>
    <x v="1"/>
    <x v="1"/>
    <n v="110000"/>
    <n v="1"/>
    <x v="1"/>
    <x v="2"/>
    <x v="0"/>
    <n v="4"/>
    <s v="5-10 Miles"/>
    <x v="2"/>
    <n v="45"/>
    <x v="0"/>
    <x v="1"/>
  </r>
  <r>
    <n v="14469"/>
    <x v="0"/>
    <x v="0"/>
    <n v="100000"/>
    <n v="3"/>
    <x v="1"/>
    <x v="2"/>
    <x v="0"/>
    <n v="4"/>
    <s v="1-2 Miles"/>
    <x v="2"/>
    <n v="45"/>
    <x v="0"/>
    <x v="0"/>
  </r>
  <r>
    <n v="11538"/>
    <x v="1"/>
    <x v="0"/>
    <n v="60000"/>
    <n v="4"/>
    <x v="4"/>
    <x v="0"/>
    <x v="1"/>
    <n v="0"/>
    <s v="0-1 Miles"/>
    <x v="2"/>
    <n v="47"/>
    <x v="2"/>
    <x v="1"/>
  </r>
  <r>
    <n v="16245"/>
    <x v="1"/>
    <x v="0"/>
    <n v="80000"/>
    <n v="4"/>
    <x v="4"/>
    <x v="0"/>
    <x v="0"/>
    <n v="0"/>
    <s v="1-2 Miles"/>
    <x v="2"/>
    <n v="47"/>
    <x v="2"/>
    <x v="0"/>
  </r>
  <r>
    <n v="17858"/>
    <x v="0"/>
    <x v="1"/>
    <n v="40000"/>
    <n v="4"/>
    <x v="2"/>
    <x v="0"/>
    <x v="0"/>
    <n v="2"/>
    <s v="2-5 Miles"/>
    <x v="2"/>
    <n v="44"/>
    <x v="0"/>
    <x v="1"/>
  </r>
  <r>
    <n v="25347"/>
    <x v="1"/>
    <x v="0"/>
    <n v="20000"/>
    <n v="3"/>
    <x v="3"/>
    <x v="1"/>
    <x v="1"/>
    <n v="2"/>
    <s v="0-1 Miles"/>
    <x v="2"/>
    <n v="49"/>
    <x v="2"/>
    <x v="0"/>
  </r>
  <r>
    <n v="15814"/>
    <x v="1"/>
    <x v="0"/>
    <n v="40000"/>
    <n v="0"/>
    <x v="2"/>
    <x v="0"/>
    <x v="0"/>
    <n v="1"/>
    <s v="5-10 Miles"/>
    <x v="2"/>
    <n v="30"/>
    <x v="3"/>
    <x v="0"/>
  </r>
  <r>
    <n v="11259"/>
    <x v="0"/>
    <x v="0"/>
    <n v="100000"/>
    <n v="4"/>
    <x v="1"/>
    <x v="2"/>
    <x v="0"/>
    <n v="4"/>
    <s v="2-5 Miles"/>
    <x v="2"/>
    <n v="41"/>
    <x v="0"/>
    <x v="1"/>
  </r>
  <r>
    <n v="11200"/>
    <x v="0"/>
    <x v="1"/>
    <n v="70000"/>
    <n v="4"/>
    <x v="0"/>
    <x v="4"/>
    <x v="0"/>
    <n v="1"/>
    <s v="1-2 Miles"/>
    <x v="2"/>
    <n v="58"/>
    <x v="1"/>
    <x v="0"/>
  </r>
  <r>
    <n v="25101"/>
    <x v="0"/>
    <x v="1"/>
    <n v="60000"/>
    <n v="5"/>
    <x v="0"/>
    <x v="2"/>
    <x v="0"/>
    <n v="1"/>
    <s v="2-5 Miles"/>
    <x v="2"/>
    <n v="47"/>
    <x v="2"/>
    <x v="0"/>
  </r>
  <r>
    <n v="21801"/>
    <x v="0"/>
    <x v="0"/>
    <n v="70000"/>
    <n v="4"/>
    <x v="1"/>
    <x v="2"/>
    <x v="0"/>
    <n v="1"/>
    <s v="1-2 Miles"/>
    <x v="2"/>
    <n v="55"/>
    <x v="2"/>
    <x v="0"/>
  </r>
  <r>
    <n v="25943"/>
    <x v="1"/>
    <x v="0"/>
    <n v="70000"/>
    <n v="0"/>
    <x v="1"/>
    <x v="0"/>
    <x v="1"/>
    <n v="2"/>
    <s v="0-1 Miles"/>
    <x v="2"/>
    <n v="27"/>
    <x v="3"/>
    <x v="1"/>
  </r>
  <r>
    <n v="22127"/>
    <x v="0"/>
    <x v="1"/>
    <n v="60000"/>
    <n v="3"/>
    <x v="4"/>
    <x v="4"/>
    <x v="0"/>
    <n v="2"/>
    <s v="1-2 Miles"/>
    <x v="2"/>
    <n v="67"/>
    <x v="4"/>
    <x v="0"/>
  </r>
  <r>
    <n v="20414"/>
    <x v="0"/>
    <x v="0"/>
    <n v="60000"/>
    <n v="0"/>
    <x v="1"/>
    <x v="0"/>
    <x v="0"/>
    <n v="2"/>
    <s v="5-10 Miles"/>
    <x v="2"/>
    <n v="29"/>
    <x v="3"/>
    <x v="0"/>
  </r>
  <r>
    <n v="23672"/>
    <x v="0"/>
    <x v="0"/>
    <n v="60000"/>
    <n v="3"/>
    <x v="4"/>
    <x v="4"/>
    <x v="0"/>
    <n v="2"/>
    <s v="1-2 Miles"/>
    <x v="2"/>
    <n v="67"/>
    <x v="4"/>
    <x v="0"/>
  </r>
  <r>
    <n v="29255"/>
    <x v="1"/>
    <x v="1"/>
    <n v="80000"/>
    <n v="3"/>
    <x v="1"/>
    <x v="2"/>
    <x v="1"/>
    <n v="1"/>
    <s v="1-2 Miles"/>
    <x v="2"/>
    <n v="51"/>
    <x v="2"/>
    <x v="1"/>
  </r>
  <r>
    <n v="28815"/>
    <x v="0"/>
    <x v="0"/>
    <n v="50000"/>
    <n v="1"/>
    <x v="4"/>
    <x v="0"/>
    <x v="0"/>
    <n v="0"/>
    <s v="0-1 Miles"/>
    <x v="2"/>
    <n v="35"/>
    <x v="3"/>
    <x v="0"/>
  </r>
  <r>
    <n v="27753"/>
    <x v="0"/>
    <x v="1"/>
    <n v="40000"/>
    <n v="0"/>
    <x v="2"/>
    <x v="0"/>
    <x v="1"/>
    <n v="2"/>
    <s v="1-2 Miles"/>
    <x v="2"/>
    <n v="30"/>
    <x v="3"/>
    <x v="0"/>
  </r>
  <r>
    <n v="27643"/>
    <x v="1"/>
    <x v="1"/>
    <n v="70000"/>
    <n v="5"/>
    <x v="1"/>
    <x v="2"/>
    <x v="0"/>
    <n v="3"/>
    <s v="2-5 Miles"/>
    <x v="2"/>
    <n v="44"/>
    <x v="0"/>
    <x v="0"/>
  </r>
  <r>
    <n v="13754"/>
    <x v="1"/>
    <x v="0"/>
    <n v="80000"/>
    <n v="4"/>
    <x v="4"/>
    <x v="0"/>
    <x v="0"/>
    <n v="0"/>
    <s v="1-2 Miles"/>
    <x v="2"/>
    <n v="48"/>
    <x v="2"/>
    <x v="0"/>
  </r>
  <r>
    <n v="22088"/>
    <x v="0"/>
    <x v="0"/>
    <n v="130000"/>
    <n v="1"/>
    <x v="0"/>
    <x v="4"/>
    <x v="0"/>
    <n v="2"/>
    <s v="0-1 Miles"/>
    <x v="2"/>
    <n v="45"/>
    <x v="0"/>
    <x v="1"/>
  </r>
  <r>
    <n v="27388"/>
    <x v="0"/>
    <x v="1"/>
    <n v="60000"/>
    <n v="3"/>
    <x v="0"/>
    <x v="4"/>
    <x v="1"/>
    <n v="2"/>
    <s v="1-2 Miles"/>
    <x v="2"/>
    <n v="66"/>
    <x v="4"/>
    <x v="0"/>
  </r>
  <r>
    <n v="24745"/>
    <x v="1"/>
    <x v="0"/>
    <n v="30000"/>
    <n v="2"/>
    <x v="2"/>
    <x v="0"/>
    <x v="1"/>
    <n v="2"/>
    <s v="0-1 Miles"/>
    <x v="2"/>
    <n v="49"/>
    <x v="2"/>
    <x v="0"/>
  </r>
  <r>
    <n v="29237"/>
    <x v="1"/>
    <x v="0"/>
    <n v="120000"/>
    <n v="4"/>
    <x v="1"/>
    <x v="2"/>
    <x v="0"/>
    <n v="3"/>
    <s v="5-10 Miles"/>
    <x v="2"/>
    <n v="43"/>
    <x v="0"/>
    <x v="1"/>
  </r>
  <r>
    <n v="15272"/>
    <x v="1"/>
    <x v="1"/>
    <n v="40000"/>
    <n v="0"/>
    <x v="2"/>
    <x v="0"/>
    <x v="1"/>
    <n v="2"/>
    <s v="1-2 Miles"/>
    <x v="2"/>
    <n v="30"/>
    <x v="3"/>
    <x v="0"/>
  </r>
  <r>
    <n v="18949"/>
    <x v="1"/>
    <x v="1"/>
    <n v="70000"/>
    <n v="0"/>
    <x v="4"/>
    <x v="4"/>
    <x v="0"/>
    <n v="2"/>
    <s v="5-10 Miles"/>
    <x v="2"/>
    <n v="74"/>
    <x v="4"/>
    <x v="1"/>
  </r>
  <r>
    <n v="14507"/>
    <x v="0"/>
    <x v="1"/>
    <n v="100000"/>
    <n v="2"/>
    <x v="4"/>
    <x v="4"/>
    <x v="0"/>
    <n v="3"/>
    <s v="1-2 Miles"/>
    <x v="2"/>
    <n v="65"/>
    <x v="1"/>
    <x v="0"/>
  </r>
  <r>
    <n v="25886"/>
    <x v="0"/>
    <x v="0"/>
    <n v="60000"/>
    <n v="2"/>
    <x v="1"/>
    <x v="2"/>
    <x v="0"/>
    <n v="2"/>
    <s v="2-5 Miles"/>
    <x v="2"/>
    <n v="56"/>
    <x v="1"/>
    <x v="1"/>
  </r>
  <r>
    <n v="21441"/>
    <x v="0"/>
    <x v="1"/>
    <n v="50000"/>
    <n v="4"/>
    <x v="0"/>
    <x v="4"/>
    <x v="0"/>
    <n v="2"/>
    <s v="10+ Miles"/>
    <x v="2"/>
    <n v="64"/>
    <x v="1"/>
    <x v="0"/>
  </r>
  <r>
    <n v="21741"/>
    <x v="0"/>
    <x v="0"/>
    <n v="70000"/>
    <n v="3"/>
    <x v="1"/>
    <x v="2"/>
    <x v="0"/>
    <n v="2"/>
    <s v="5-10 Miles"/>
    <x v="2"/>
    <n v="50"/>
    <x v="2"/>
    <x v="1"/>
  </r>
  <r>
    <n v="14572"/>
    <x v="0"/>
    <x v="0"/>
    <n v="70000"/>
    <n v="3"/>
    <x v="4"/>
    <x v="2"/>
    <x v="0"/>
    <n v="0"/>
    <s v="2-5 Miles"/>
    <x v="2"/>
    <n v="35"/>
    <x v="3"/>
    <x v="1"/>
  </r>
  <r>
    <n v="23368"/>
    <x v="0"/>
    <x v="0"/>
    <n v="60000"/>
    <n v="5"/>
    <x v="0"/>
    <x v="0"/>
    <x v="0"/>
    <n v="3"/>
    <s v="10+ Miles"/>
    <x v="2"/>
    <n v="41"/>
    <x v="0"/>
    <x v="0"/>
  </r>
  <r>
    <n v="16217"/>
    <x v="1"/>
    <x v="0"/>
    <n v="60000"/>
    <n v="0"/>
    <x v="4"/>
    <x v="0"/>
    <x v="0"/>
    <n v="0"/>
    <s v="0-1 Miles"/>
    <x v="2"/>
    <n v="39"/>
    <x v="0"/>
    <x v="0"/>
  </r>
  <r>
    <n v="16247"/>
    <x v="1"/>
    <x v="0"/>
    <n v="60000"/>
    <n v="4"/>
    <x v="4"/>
    <x v="0"/>
    <x v="1"/>
    <n v="0"/>
    <s v="1-2 Miles"/>
    <x v="2"/>
    <n v="47"/>
    <x v="2"/>
    <x v="0"/>
  </r>
  <r>
    <n v="22010"/>
    <x v="1"/>
    <x v="1"/>
    <n v="40000"/>
    <n v="0"/>
    <x v="2"/>
    <x v="0"/>
    <x v="0"/>
    <n v="2"/>
    <s v="5-10 Miles"/>
    <x v="2"/>
    <n v="31"/>
    <x v="3"/>
    <x v="0"/>
  </r>
  <r>
    <n v="25872"/>
    <x v="1"/>
    <x v="0"/>
    <n v="70000"/>
    <n v="2"/>
    <x v="0"/>
    <x v="4"/>
    <x v="1"/>
    <n v="1"/>
    <s v="2-5 Miles"/>
    <x v="2"/>
    <n v="58"/>
    <x v="1"/>
    <x v="1"/>
  </r>
  <r>
    <n v="19164"/>
    <x v="1"/>
    <x v="0"/>
    <n v="70000"/>
    <n v="0"/>
    <x v="0"/>
    <x v="2"/>
    <x v="1"/>
    <n v="1"/>
    <s v="2-5 Miles"/>
    <x v="2"/>
    <n v="38"/>
    <x v="0"/>
    <x v="1"/>
  </r>
  <r>
    <n v="18435"/>
    <x v="1"/>
    <x v="0"/>
    <n v="70000"/>
    <n v="5"/>
    <x v="4"/>
    <x v="4"/>
    <x v="0"/>
    <n v="2"/>
    <s v="10+ Miles"/>
    <x v="2"/>
    <n v="67"/>
    <x v="4"/>
    <x v="1"/>
  </r>
  <r>
    <n v="14284"/>
    <x v="1"/>
    <x v="1"/>
    <n v="60000"/>
    <n v="0"/>
    <x v="1"/>
    <x v="2"/>
    <x v="1"/>
    <n v="2"/>
    <s v="1-2 Miles"/>
    <x v="2"/>
    <n v="32"/>
    <x v="3"/>
    <x v="1"/>
  </r>
  <r>
    <n v="11287"/>
    <x v="0"/>
    <x v="1"/>
    <n v="70000"/>
    <n v="5"/>
    <x v="1"/>
    <x v="2"/>
    <x v="1"/>
    <n v="3"/>
    <s v="5-10 Miles"/>
    <x v="2"/>
    <n v="45"/>
    <x v="0"/>
    <x v="0"/>
  </r>
  <r>
    <n v="13066"/>
    <x v="1"/>
    <x v="1"/>
    <n v="30000"/>
    <n v="0"/>
    <x v="2"/>
    <x v="0"/>
    <x v="1"/>
    <n v="2"/>
    <s v="1-2 Miles"/>
    <x v="2"/>
    <n v="31"/>
    <x v="3"/>
    <x v="1"/>
  </r>
  <r>
    <n v="29106"/>
    <x v="1"/>
    <x v="1"/>
    <n v="40000"/>
    <n v="0"/>
    <x v="2"/>
    <x v="0"/>
    <x v="1"/>
    <n v="2"/>
    <s v="1-2 Miles"/>
    <x v="2"/>
    <n v="31"/>
    <x v="3"/>
    <x v="1"/>
  </r>
  <r>
    <n v="26236"/>
    <x v="0"/>
    <x v="0"/>
    <n v="40000"/>
    <n v="3"/>
    <x v="1"/>
    <x v="1"/>
    <x v="0"/>
    <n v="1"/>
    <s v="0-1 Miles"/>
    <x v="2"/>
    <n v="31"/>
    <x v="3"/>
    <x v="0"/>
  </r>
  <r>
    <n v="17531"/>
    <x v="0"/>
    <x v="1"/>
    <n v="60000"/>
    <n v="2"/>
    <x v="2"/>
    <x v="2"/>
    <x v="1"/>
    <n v="2"/>
    <s v="5-10 Miles"/>
    <x v="2"/>
    <n v="50"/>
    <x v="2"/>
    <x v="0"/>
  </r>
  <r>
    <n v="12964"/>
    <x v="0"/>
    <x v="1"/>
    <n v="70000"/>
    <n v="1"/>
    <x v="1"/>
    <x v="0"/>
    <x v="0"/>
    <n v="1"/>
    <s v="0-1 Miles"/>
    <x v="2"/>
    <n v="44"/>
    <x v="0"/>
    <x v="0"/>
  </r>
  <r>
    <n v="19133"/>
    <x v="1"/>
    <x v="1"/>
    <n v="50000"/>
    <n v="2"/>
    <x v="0"/>
    <x v="0"/>
    <x v="0"/>
    <n v="1"/>
    <s v="2-5 Miles"/>
    <x v="2"/>
    <n v="38"/>
    <x v="0"/>
    <x v="1"/>
  </r>
  <r>
    <n v="24643"/>
    <x v="1"/>
    <x v="0"/>
    <n v="60000"/>
    <n v="4"/>
    <x v="0"/>
    <x v="4"/>
    <x v="0"/>
    <n v="2"/>
    <s v="10+ Miles"/>
    <x v="2"/>
    <n v="63"/>
    <x v="1"/>
    <x v="0"/>
  </r>
  <r>
    <n v="21599"/>
    <x v="0"/>
    <x v="0"/>
    <n v="60000"/>
    <n v="1"/>
    <x v="4"/>
    <x v="2"/>
    <x v="0"/>
    <n v="0"/>
    <s v="2-5 Miles"/>
    <x v="2"/>
    <n v="36"/>
    <x v="0"/>
    <x v="1"/>
  </r>
  <r>
    <n v="22976"/>
    <x v="1"/>
    <x v="1"/>
    <n v="40000"/>
    <n v="0"/>
    <x v="2"/>
    <x v="0"/>
    <x v="1"/>
    <n v="2"/>
    <s v="0-1 Miles"/>
    <x v="2"/>
    <n v="28"/>
    <x v="3"/>
    <x v="1"/>
  </r>
  <r>
    <n v="27637"/>
    <x v="1"/>
    <x v="0"/>
    <n v="100000"/>
    <n v="1"/>
    <x v="1"/>
    <x v="2"/>
    <x v="1"/>
    <n v="3"/>
    <s v="1-2 Miles"/>
    <x v="2"/>
    <n v="44"/>
    <x v="0"/>
    <x v="0"/>
  </r>
  <r>
    <n v="11890"/>
    <x v="0"/>
    <x v="0"/>
    <n v="70000"/>
    <n v="5"/>
    <x v="4"/>
    <x v="2"/>
    <x v="0"/>
    <n v="1"/>
    <s v="0-1 Miles"/>
    <x v="2"/>
    <n v="47"/>
    <x v="2"/>
    <x v="0"/>
  </r>
  <r>
    <n v="28580"/>
    <x v="0"/>
    <x v="0"/>
    <n v="80000"/>
    <n v="0"/>
    <x v="4"/>
    <x v="0"/>
    <x v="0"/>
    <n v="0"/>
    <s v="1-2 Miles"/>
    <x v="2"/>
    <n v="40"/>
    <x v="0"/>
    <x v="1"/>
  </r>
  <r>
    <n v="14443"/>
    <x v="0"/>
    <x v="1"/>
    <n v="130000"/>
    <n v="1"/>
    <x v="4"/>
    <x v="4"/>
    <x v="0"/>
    <n v="4"/>
    <s v="0-1 Miles"/>
    <x v="2"/>
    <n v="40"/>
    <x v="0"/>
    <x v="0"/>
  </r>
  <r>
    <n v="17864"/>
    <x v="0"/>
    <x v="0"/>
    <n v="60000"/>
    <n v="1"/>
    <x v="1"/>
    <x v="0"/>
    <x v="0"/>
    <n v="1"/>
    <s v="2-5 Miles"/>
    <x v="2"/>
    <n v="46"/>
    <x v="2"/>
    <x v="1"/>
  </r>
  <r>
    <n v="20505"/>
    <x v="0"/>
    <x v="0"/>
    <n v="40000"/>
    <n v="5"/>
    <x v="2"/>
    <x v="2"/>
    <x v="1"/>
    <n v="2"/>
    <s v="10+ Miles"/>
    <x v="2"/>
    <n v="61"/>
    <x v="1"/>
    <x v="0"/>
  </r>
  <r>
    <n v="14592"/>
    <x v="0"/>
    <x v="0"/>
    <n v="60000"/>
    <n v="0"/>
    <x v="4"/>
    <x v="2"/>
    <x v="0"/>
    <n v="0"/>
    <s v="0-1 Miles"/>
    <x v="2"/>
    <n v="40"/>
    <x v="0"/>
    <x v="0"/>
  </r>
  <r>
    <n v="22227"/>
    <x v="0"/>
    <x v="0"/>
    <n v="60000"/>
    <n v="2"/>
    <x v="2"/>
    <x v="2"/>
    <x v="0"/>
    <n v="2"/>
    <s v="5-10 Miles"/>
    <x v="2"/>
    <n v="50"/>
    <x v="2"/>
    <x v="0"/>
  </r>
  <r>
    <n v="21471"/>
    <x v="0"/>
    <x v="1"/>
    <n v="70000"/>
    <n v="2"/>
    <x v="1"/>
    <x v="2"/>
    <x v="0"/>
    <n v="1"/>
    <s v="10+ Miles"/>
    <x v="2"/>
    <n v="59"/>
    <x v="1"/>
    <x v="0"/>
  </r>
  <r>
    <n v="22252"/>
    <x v="1"/>
    <x v="0"/>
    <n v="60000"/>
    <n v="1"/>
    <x v="4"/>
    <x v="2"/>
    <x v="0"/>
    <n v="0"/>
    <s v="2-5 Miles"/>
    <x v="2"/>
    <n v="36"/>
    <x v="0"/>
    <x v="1"/>
  </r>
  <r>
    <n v="21260"/>
    <x v="1"/>
    <x v="0"/>
    <n v="40000"/>
    <n v="0"/>
    <x v="2"/>
    <x v="0"/>
    <x v="0"/>
    <n v="2"/>
    <s v="5-10 Miles"/>
    <x v="2"/>
    <n v="30"/>
    <x v="3"/>
    <x v="0"/>
  </r>
  <r>
    <n v="11817"/>
    <x v="1"/>
    <x v="0"/>
    <n v="70000"/>
    <n v="4"/>
    <x v="4"/>
    <x v="2"/>
    <x v="0"/>
    <n v="0"/>
    <s v="2-5 Miles"/>
    <x v="2"/>
    <n v="35"/>
    <x v="3"/>
    <x v="1"/>
  </r>
  <r>
    <n v="19223"/>
    <x v="0"/>
    <x v="0"/>
    <n v="30000"/>
    <n v="2"/>
    <x v="2"/>
    <x v="0"/>
    <x v="0"/>
    <n v="2"/>
    <s v="1-2 Miles"/>
    <x v="2"/>
    <n v="48"/>
    <x v="2"/>
    <x v="0"/>
  </r>
  <r>
    <n v="18517"/>
    <x v="0"/>
    <x v="1"/>
    <n v="100000"/>
    <n v="3"/>
    <x v="0"/>
    <x v="4"/>
    <x v="0"/>
    <n v="4"/>
    <s v="0-1 Miles"/>
    <x v="2"/>
    <n v="41"/>
    <x v="0"/>
    <x v="0"/>
  </r>
  <r>
    <n v="21717"/>
    <x v="0"/>
    <x v="1"/>
    <n v="40000"/>
    <n v="2"/>
    <x v="1"/>
    <x v="1"/>
    <x v="0"/>
    <n v="1"/>
    <s v="0-1 Miles"/>
    <x v="2"/>
    <n v="47"/>
    <x v="2"/>
    <x v="0"/>
  </r>
  <r>
    <n v="13760"/>
    <x v="0"/>
    <x v="1"/>
    <n v="60000"/>
    <n v="4"/>
    <x v="4"/>
    <x v="0"/>
    <x v="1"/>
    <n v="0"/>
    <s v="0-1 Miles"/>
    <x v="2"/>
    <n v="47"/>
    <x v="2"/>
    <x v="0"/>
  </r>
  <r>
    <n v="18145"/>
    <x v="0"/>
    <x v="1"/>
    <n v="80000"/>
    <n v="5"/>
    <x v="0"/>
    <x v="4"/>
    <x v="1"/>
    <n v="2"/>
    <s v="2-5 Miles"/>
    <x v="0"/>
    <n v="62"/>
    <x v="1"/>
    <x v="0"/>
  </r>
  <r>
    <n v="21770"/>
    <x v="0"/>
    <x v="1"/>
    <n v="60000"/>
    <n v="4"/>
    <x v="0"/>
    <x v="4"/>
    <x v="0"/>
    <n v="2"/>
    <s v="10+ Miles"/>
    <x v="2"/>
    <n v="60"/>
    <x v="1"/>
    <x v="0"/>
  </r>
  <r>
    <n v="11165"/>
    <x v="0"/>
    <x v="0"/>
    <n v="60000"/>
    <n v="0"/>
    <x v="1"/>
    <x v="0"/>
    <x v="1"/>
    <n v="1"/>
    <s v="1-2 Miles"/>
    <x v="2"/>
    <n v="33"/>
    <x v="3"/>
    <x v="0"/>
  </r>
  <r>
    <n v="16377"/>
    <x v="1"/>
    <x v="0"/>
    <n v="80000"/>
    <n v="4"/>
    <x v="4"/>
    <x v="0"/>
    <x v="1"/>
    <n v="0"/>
    <s v="0-1 Miles"/>
    <x v="2"/>
    <n v="47"/>
    <x v="2"/>
    <x v="0"/>
  </r>
  <r>
    <n v="26248"/>
    <x v="0"/>
    <x v="1"/>
    <n v="20000"/>
    <n v="3"/>
    <x v="3"/>
    <x v="1"/>
    <x v="1"/>
    <n v="2"/>
    <s v="0-1 Miles"/>
    <x v="2"/>
    <n v="52"/>
    <x v="2"/>
    <x v="0"/>
  </r>
  <r>
    <n v="23461"/>
    <x v="0"/>
    <x v="0"/>
    <n v="90000"/>
    <n v="5"/>
    <x v="1"/>
    <x v="2"/>
    <x v="0"/>
    <n v="3"/>
    <s v="2-5 Miles"/>
    <x v="2"/>
    <n v="40"/>
    <x v="0"/>
    <x v="0"/>
  </r>
  <r>
    <n v="29133"/>
    <x v="1"/>
    <x v="0"/>
    <n v="60000"/>
    <n v="4"/>
    <x v="0"/>
    <x v="0"/>
    <x v="1"/>
    <n v="2"/>
    <s v="0-1 Miles"/>
    <x v="2"/>
    <n v="42"/>
    <x v="0"/>
    <x v="0"/>
  </r>
  <r>
    <n v="27673"/>
    <x v="1"/>
    <x v="0"/>
    <n v="60000"/>
    <n v="3"/>
    <x v="4"/>
    <x v="4"/>
    <x v="0"/>
    <n v="2"/>
    <s v="5-10 Miles"/>
    <x v="2"/>
    <n v="53"/>
    <x v="2"/>
    <x v="1"/>
  </r>
  <r>
    <n v="12774"/>
    <x v="0"/>
    <x v="0"/>
    <n v="40000"/>
    <n v="1"/>
    <x v="1"/>
    <x v="1"/>
    <x v="0"/>
    <n v="1"/>
    <s v="1-2 Miles"/>
    <x v="2"/>
    <n v="51"/>
    <x v="2"/>
    <x v="1"/>
  </r>
  <r>
    <n v="18910"/>
    <x v="1"/>
    <x v="1"/>
    <n v="30000"/>
    <n v="0"/>
    <x v="1"/>
    <x v="0"/>
    <x v="0"/>
    <n v="2"/>
    <s v="5-10 Miles"/>
    <x v="2"/>
    <n v="30"/>
    <x v="3"/>
    <x v="0"/>
  </r>
  <r>
    <n v="11699"/>
    <x v="1"/>
    <x v="1"/>
    <n v="60000"/>
    <n v="0"/>
    <x v="0"/>
    <x v="0"/>
    <x v="1"/>
    <n v="2"/>
    <s v="0-1 Miles"/>
    <x v="2"/>
    <n v="30"/>
    <x v="3"/>
    <x v="0"/>
  </r>
  <r>
    <n v="16725"/>
    <x v="0"/>
    <x v="1"/>
    <n v="30000"/>
    <n v="0"/>
    <x v="2"/>
    <x v="0"/>
    <x v="0"/>
    <n v="2"/>
    <s v="5-10 Miles"/>
    <x v="2"/>
    <n v="26"/>
    <x v="3"/>
    <x v="0"/>
  </r>
  <r>
    <n v="28269"/>
    <x v="1"/>
    <x v="0"/>
    <n v="130000"/>
    <n v="1"/>
    <x v="0"/>
    <x v="4"/>
    <x v="1"/>
    <n v="1"/>
    <s v="2-5 Miles"/>
    <x v="2"/>
    <n v="45"/>
    <x v="0"/>
    <x v="0"/>
  </r>
  <r>
    <n v="23144"/>
    <x v="0"/>
    <x v="1"/>
    <n v="50000"/>
    <n v="1"/>
    <x v="0"/>
    <x v="0"/>
    <x v="0"/>
    <n v="0"/>
    <s v="0-1 Miles"/>
    <x v="2"/>
    <n v="34"/>
    <x v="3"/>
    <x v="1"/>
  </r>
  <r>
    <n v="23376"/>
    <x v="0"/>
    <x v="1"/>
    <n v="70000"/>
    <n v="1"/>
    <x v="0"/>
    <x v="2"/>
    <x v="0"/>
    <n v="1"/>
    <s v="2-5 Miles"/>
    <x v="2"/>
    <n v="44"/>
    <x v="0"/>
    <x v="1"/>
  </r>
  <r>
    <n v="25970"/>
    <x v="1"/>
    <x v="0"/>
    <n v="60000"/>
    <n v="4"/>
    <x v="0"/>
    <x v="0"/>
    <x v="1"/>
    <n v="2"/>
    <s v="0-1 Miles"/>
    <x v="2"/>
    <n v="41"/>
    <x v="0"/>
    <x v="1"/>
  </r>
  <r>
    <n v="28068"/>
    <x v="1"/>
    <x v="0"/>
    <n v="80000"/>
    <n v="3"/>
    <x v="4"/>
    <x v="2"/>
    <x v="1"/>
    <n v="0"/>
    <s v="0-1 Miles"/>
    <x v="2"/>
    <n v="36"/>
    <x v="0"/>
    <x v="1"/>
  </r>
  <r>
    <n v="18390"/>
    <x v="0"/>
    <x v="1"/>
    <n v="80000"/>
    <n v="5"/>
    <x v="1"/>
    <x v="2"/>
    <x v="0"/>
    <n v="2"/>
    <s v="0-1 Miles"/>
    <x v="2"/>
    <n v="44"/>
    <x v="0"/>
    <x v="0"/>
  </r>
  <r>
    <n v="29112"/>
    <x v="1"/>
    <x v="1"/>
    <n v="60000"/>
    <n v="0"/>
    <x v="1"/>
    <x v="2"/>
    <x v="1"/>
    <n v="2"/>
    <s v="1-2 Miles"/>
    <x v="2"/>
    <n v="30"/>
    <x v="3"/>
    <x v="0"/>
  </r>
  <r>
    <n v="14090"/>
    <x v="0"/>
    <x v="0"/>
    <n v="30000"/>
    <n v="0"/>
    <x v="3"/>
    <x v="1"/>
    <x v="1"/>
    <n v="2"/>
    <s v="0-1 Miles"/>
    <x v="2"/>
    <n v="28"/>
    <x v="3"/>
    <x v="0"/>
  </r>
  <r>
    <n v="27040"/>
    <x v="0"/>
    <x v="1"/>
    <n v="20000"/>
    <n v="2"/>
    <x v="3"/>
    <x v="1"/>
    <x v="0"/>
    <n v="2"/>
    <s v="1-2 Miles"/>
    <x v="2"/>
    <n v="49"/>
    <x v="2"/>
    <x v="0"/>
  </r>
  <r>
    <n v="23479"/>
    <x v="1"/>
    <x v="1"/>
    <n v="90000"/>
    <n v="0"/>
    <x v="1"/>
    <x v="2"/>
    <x v="1"/>
    <n v="2"/>
    <s v="0-1 Miles"/>
    <x v="2"/>
    <n v="43"/>
    <x v="0"/>
    <x v="1"/>
  </r>
  <r>
    <n v="16795"/>
    <x v="0"/>
    <x v="0"/>
    <n v="70000"/>
    <n v="4"/>
    <x v="0"/>
    <x v="4"/>
    <x v="0"/>
    <n v="1"/>
    <s v="1-2 Miles"/>
    <x v="2"/>
    <n v="59"/>
    <x v="1"/>
    <x v="0"/>
  </r>
  <r>
    <n v="22014"/>
    <x v="1"/>
    <x v="1"/>
    <n v="30000"/>
    <n v="0"/>
    <x v="2"/>
    <x v="0"/>
    <x v="0"/>
    <n v="2"/>
    <s v="5-10 Miles"/>
    <x v="2"/>
    <n v="26"/>
    <x v="3"/>
    <x v="0"/>
  </r>
  <r>
    <n v="13314"/>
    <x v="0"/>
    <x v="1"/>
    <n v="120000"/>
    <n v="1"/>
    <x v="2"/>
    <x v="2"/>
    <x v="0"/>
    <n v="4"/>
    <s v="5-10 Miles"/>
    <x v="2"/>
    <n v="46"/>
    <x v="2"/>
    <x v="1"/>
  </r>
  <r>
    <n v="11619"/>
    <x v="1"/>
    <x v="0"/>
    <n v="50000"/>
    <n v="0"/>
    <x v="4"/>
    <x v="0"/>
    <x v="0"/>
    <n v="0"/>
    <s v="1-2 Miles"/>
    <x v="2"/>
    <n v="33"/>
    <x v="3"/>
    <x v="0"/>
  </r>
  <r>
    <n v="29132"/>
    <x v="1"/>
    <x v="0"/>
    <n v="40000"/>
    <n v="0"/>
    <x v="0"/>
    <x v="2"/>
    <x v="0"/>
    <n v="1"/>
    <s v="2-5 Miles"/>
    <x v="2"/>
    <n v="42"/>
    <x v="0"/>
    <x v="1"/>
  </r>
  <r>
    <n v="11199"/>
    <x v="0"/>
    <x v="0"/>
    <n v="70000"/>
    <n v="4"/>
    <x v="0"/>
    <x v="4"/>
    <x v="0"/>
    <n v="1"/>
    <s v="10+ Miles"/>
    <x v="2"/>
    <n v="59"/>
    <x v="1"/>
    <x v="0"/>
  </r>
  <r>
    <n v="20296"/>
    <x v="1"/>
    <x v="0"/>
    <n v="60000"/>
    <n v="0"/>
    <x v="1"/>
    <x v="0"/>
    <x v="1"/>
    <n v="1"/>
    <s v="1-2 Miles"/>
    <x v="2"/>
    <n v="33"/>
    <x v="3"/>
    <x v="1"/>
  </r>
  <r>
    <n v="17546"/>
    <x v="0"/>
    <x v="0"/>
    <n v="70000"/>
    <n v="1"/>
    <x v="1"/>
    <x v="0"/>
    <x v="0"/>
    <n v="1"/>
    <s v="0-1 Miles"/>
    <x v="2"/>
    <n v="44"/>
    <x v="0"/>
    <x v="1"/>
  </r>
  <r>
    <n v="18069"/>
    <x v="0"/>
    <x v="1"/>
    <n v="70000"/>
    <n v="5"/>
    <x v="0"/>
    <x v="4"/>
    <x v="0"/>
    <n v="4"/>
    <s v="10+ Miles"/>
    <x v="2"/>
    <n v="60"/>
    <x v="1"/>
    <x v="0"/>
  </r>
  <r>
    <n v="23712"/>
    <x v="1"/>
    <x v="0"/>
    <n v="70000"/>
    <n v="2"/>
    <x v="0"/>
    <x v="4"/>
    <x v="0"/>
    <n v="1"/>
    <s v="10+ Miles"/>
    <x v="2"/>
    <n v="59"/>
    <x v="1"/>
    <x v="0"/>
  </r>
  <r>
    <n v="23358"/>
    <x v="0"/>
    <x v="1"/>
    <n v="60000"/>
    <n v="0"/>
    <x v="2"/>
    <x v="2"/>
    <x v="0"/>
    <n v="2"/>
    <s v="5-10 Miles"/>
    <x v="2"/>
    <n v="32"/>
    <x v="3"/>
    <x v="1"/>
  </r>
  <r>
    <n v="20518"/>
    <x v="0"/>
    <x v="0"/>
    <n v="70000"/>
    <n v="2"/>
    <x v="1"/>
    <x v="2"/>
    <x v="0"/>
    <n v="1"/>
    <s v="10+ Miles"/>
    <x v="2"/>
    <n v="58"/>
    <x v="1"/>
    <x v="0"/>
  </r>
  <r>
    <n v="28026"/>
    <x v="0"/>
    <x v="0"/>
    <n v="40000"/>
    <n v="2"/>
    <x v="2"/>
    <x v="2"/>
    <x v="1"/>
    <n v="2"/>
    <s v="2-5 Miles"/>
    <x v="2"/>
    <n v="59"/>
    <x v="1"/>
    <x v="0"/>
  </r>
  <r>
    <n v="11669"/>
    <x v="1"/>
    <x v="0"/>
    <n v="70000"/>
    <n v="2"/>
    <x v="0"/>
    <x v="0"/>
    <x v="0"/>
    <n v="1"/>
    <s v="2-5 Miles"/>
    <x v="2"/>
    <n v="38"/>
    <x v="0"/>
    <x v="0"/>
  </r>
  <r>
    <n v="16020"/>
    <x v="0"/>
    <x v="1"/>
    <n v="40000"/>
    <n v="0"/>
    <x v="2"/>
    <x v="0"/>
    <x v="0"/>
    <n v="2"/>
    <s v="5-10 Miles"/>
    <x v="2"/>
    <n v="28"/>
    <x v="3"/>
    <x v="1"/>
  </r>
  <r>
    <n v="27090"/>
    <x v="0"/>
    <x v="0"/>
    <n v="60000"/>
    <n v="1"/>
    <x v="4"/>
    <x v="2"/>
    <x v="0"/>
    <n v="0"/>
    <s v="2-5 Miles"/>
    <x v="2"/>
    <n v="37"/>
    <x v="0"/>
    <x v="1"/>
  </r>
  <r>
    <n v="27198"/>
    <x v="1"/>
    <x v="0"/>
    <n v="80000"/>
    <n v="0"/>
    <x v="4"/>
    <x v="0"/>
    <x v="1"/>
    <n v="0"/>
    <s v="0-1 Miles"/>
    <x v="2"/>
    <n v="40"/>
    <x v="0"/>
    <x v="0"/>
  </r>
  <r>
    <n v="19661"/>
    <x v="1"/>
    <x v="1"/>
    <n v="90000"/>
    <n v="4"/>
    <x v="0"/>
    <x v="4"/>
    <x v="0"/>
    <n v="1"/>
    <s v="1-2 Miles"/>
    <x v="2"/>
    <n v="38"/>
    <x v="0"/>
    <x v="1"/>
  </r>
  <r>
    <n v="26327"/>
    <x v="0"/>
    <x v="1"/>
    <n v="70000"/>
    <n v="4"/>
    <x v="4"/>
    <x v="2"/>
    <x v="0"/>
    <n v="0"/>
    <s v="2-5 Miles"/>
    <x v="2"/>
    <n v="36"/>
    <x v="0"/>
    <x v="1"/>
  </r>
  <r>
    <n v="26341"/>
    <x v="0"/>
    <x v="0"/>
    <n v="70000"/>
    <n v="5"/>
    <x v="4"/>
    <x v="2"/>
    <x v="0"/>
    <n v="2"/>
    <s v="0-1 Miles"/>
    <x v="2"/>
    <n v="37"/>
    <x v="0"/>
    <x v="0"/>
  </r>
  <r>
    <n v="24958"/>
    <x v="1"/>
    <x v="0"/>
    <n v="40000"/>
    <n v="5"/>
    <x v="2"/>
    <x v="2"/>
    <x v="1"/>
    <n v="3"/>
    <s v="2-5 Miles"/>
    <x v="2"/>
    <n v="60"/>
    <x v="1"/>
    <x v="1"/>
  </r>
  <r>
    <n v="13287"/>
    <x v="1"/>
    <x v="1"/>
    <n v="110000"/>
    <n v="4"/>
    <x v="0"/>
    <x v="4"/>
    <x v="0"/>
    <n v="4"/>
    <s v="5-10 Miles"/>
    <x v="2"/>
    <n v="42"/>
    <x v="0"/>
    <x v="1"/>
  </r>
  <r>
    <n v="14493"/>
    <x v="1"/>
    <x v="0"/>
    <n v="70000"/>
    <n v="3"/>
    <x v="4"/>
    <x v="4"/>
    <x v="1"/>
    <n v="2"/>
    <s v="1-2 Miles"/>
    <x v="2"/>
    <n v="53"/>
    <x v="2"/>
    <x v="0"/>
  </r>
  <r>
    <n v="26678"/>
    <x v="1"/>
    <x v="0"/>
    <n v="80000"/>
    <n v="2"/>
    <x v="3"/>
    <x v="0"/>
    <x v="0"/>
    <n v="2"/>
    <s v="5-10 Miles"/>
    <x v="2"/>
    <n v="49"/>
    <x v="2"/>
    <x v="0"/>
  </r>
  <r>
    <n v="23275"/>
    <x v="0"/>
    <x v="1"/>
    <n v="30000"/>
    <n v="2"/>
    <x v="2"/>
    <x v="0"/>
    <x v="0"/>
    <n v="2"/>
    <s v="1-2 Miles"/>
    <x v="2"/>
    <n v="49"/>
    <x v="2"/>
    <x v="0"/>
  </r>
  <r>
    <n v="11270"/>
    <x v="0"/>
    <x v="1"/>
    <n v="130000"/>
    <n v="2"/>
    <x v="4"/>
    <x v="4"/>
    <x v="0"/>
    <n v="3"/>
    <s v="0-1 Miles"/>
    <x v="2"/>
    <n v="42"/>
    <x v="0"/>
    <x v="1"/>
  </r>
  <r>
    <n v="20084"/>
    <x v="0"/>
    <x v="1"/>
    <n v="20000"/>
    <n v="2"/>
    <x v="2"/>
    <x v="3"/>
    <x v="1"/>
    <n v="2"/>
    <s v="0-1 Miles"/>
    <x v="2"/>
    <n v="53"/>
    <x v="2"/>
    <x v="0"/>
  </r>
  <r>
    <n v="16144"/>
    <x v="0"/>
    <x v="1"/>
    <n v="70000"/>
    <n v="1"/>
    <x v="4"/>
    <x v="2"/>
    <x v="0"/>
    <n v="1"/>
    <s v="0-1 Miles"/>
    <x v="2"/>
    <n v="46"/>
    <x v="2"/>
    <x v="1"/>
  </r>
  <r>
    <n v="27731"/>
    <x v="0"/>
    <x v="1"/>
    <n v="40000"/>
    <n v="0"/>
    <x v="2"/>
    <x v="0"/>
    <x v="0"/>
    <n v="2"/>
    <s v="5-10 Miles"/>
    <x v="2"/>
    <n v="27"/>
    <x v="3"/>
    <x v="0"/>
  </r>
  <r>
    <n v="11886"/>
    <x v="0"/>
    <x v="0"/>
    <n v="60000"/>
    <n v="3"/>
    <x v="0"/>
    <x v="2"/>
    <x v="0"/>
    <n v="1"/>
    <s v="0-1 Miles"/>
    <x v="2"/>
    <n v="48"/>
    <x v="2"/>
    <x v="1"/>
  </r>
  <r>
    <n v="24324"/>
    <x v="1"/>
    <x v="0"/>
    <n v="60000"/>
    <n v="4"/>
    <x v="0"/>
    <x v="0"/>
    <x v="0"/>
    <n v="2"/>
    <s v="2-5 Miles"/>
    <x v="2"/>
    <n v="41"/>
    <x v="0"/>
    <x v="1"/>
  </r>
  <r>
    <n v="22220"/>
    <x v="0"/>
    <x v="1"/>
    <n v="60000"/>
    <n v="2"/>
    <x v="2"/>
    <x v="2"/>
    <x v="1"/>
    <n v="2"/>
    <s v="1-2 Miles"/>
    <x v="2"/>
    <n v="49"/>
    <x v="2"/>
    <x v="1"/>
  </r>
  <r>
    <n v="26625"/>
    <x v="1"/>
    <x v="0"/>
    <n v="60000"/>
    <n v="0"/>
    <x v="4"/>
    <x v="2"/>
    <x v="0"/>
    <n v="1"/>
    <s v="2-5 Miles"/>
    <x v="2"/>
    <n v="38"/>
    <x v="0"/>
    <x v="1"/>
  </r>
  <r>
    <n v="23027"/>
    <x v="1"/>
    <x v="1"/>
    <n v="130000"/>
    <n v="1"/>
    <x v="0"/>
    <x v="4"/>
    <x v="1"/>
    <n v="4"/>
    <s v="0-1 Miles"/>
    <x v="2"/>
    <n v="44"/>
    <x v="0"/>
    <x v="0"/>
  </r>
  <r>
    <n v="16867"/>
    <x v="1"/>
    <x v="0"/>
    <n v="130000"/>
    <n v="1"/>
    <x v="0"/>
    <x v="4"/>
    <x v="1"/>
    <n v="3"/>
    <s v="0-1 Miles"/>
    <x v="2"/>
    <n v="45"/>
    <x v="0"/>
    <x v="1"/>
  </r>
  <r>
    <n v="14514"/>
    <x v="1"/>
    <x v="0"/>
    <n v="30000"/>
    <n v="0"/>
    <x v="1"/>
    <x v="0"/>
    <x v="0"/>
    <n v="1"/>
    <s v="5-10 Miles"/>
    <x v="2"/>
    <n v="26"/>
    <x v="3"/>
    <x v="0"/>
  </r>
  <r>
    <n v="19634"/>
    <x v="0"/>
    <x v="1"/>
    <n v="40000"/>
    <n v="0"/>
    <x v="2"/>
    <x v="0"/>
    <x v="0"/>
    <n v="1"/>
    <s v="5-10 Miles"/>
    <x v="2"/>
    <n v="31"/>
    <x v="3"/>
    <x v="0"/>
  </r>
  <r>
    <n v="18504"/>
    <x v="0"/>
    <x v="1"/>
    <n v="70000"/>
    <n v="2"/>
    <x v="3"/>
    <x v="0"/>
    <x v="1"/>
    <n v="2"/>
    <s v="1-2 Miles"/>
    <x v="2"/>
    <n v="49"/>
    <x v="2"/>
    <x v="0"/>
  </r>
  <r>
    <n v="28799"/>
    <x v="1"/>
    <x v="0"/>
    <n v="40000"/>
    <n v="2"/>
    <x v="1"/>
    <x v="1"/>
    <x v="1"/>
    <n v="1"/>
    <s v="1-2 Miles"/>
    <x v="2"/>
    <n v="47"/>
    <x v="2"/>
    <x v="1"/>
  </r>
  <r>
    <n v="11225"/>
    <x v="0"/>
    <x v="0"/>
    <n v="60000"/>
    <n v="2"/>
    <x v="1"/>
    <x v="2"/>
    <x v="0"/>
    <n v="1"/>
    <s v="10+ Miles"/>
    <x v="2"/>
    <n v="55"/>
    <x v="2"/>
    <x v="0"/>
  </r>
  <r>
    <n v="17657"/>
    <x v="0"/>
    <x v="1"/>
    <n v="40000"/>
    <n v="4"/>
    <x v="1"/>
    <x v="1"/>
    <x v="1"/>
    <n v="0"/>
    <s v="0-1 Miles"/>
    <x v="2"/>
    <n v="30"/>
    <x v="3"/>
    <x v="0"/>
  </r>
  <r>
    <n v="14913"/>
    <x v="0"/>
    <x v="0"/>
    <n v="40000"/>
    <n v="1"/>
    <x v="1"/>
    <x v="1"/>
    <x v="0"/>
    <n v="1"/>
    <s v="1-2 Miles"/>
    <x v="2"/>
    <n v="48"/>
    <x v="2"/>
    <x v="1"/>
  </r>
  <r>
    <n v="14077"/>
    <x v="1"/>
    <x v="1"/>
    <n v="30000"/>
    <n v="0"/>
    <x v="2"/>
    <x v="0"/>
    <x v="0"/>
    <n v="2"/>
    <s v="5-10 Miles"/>
    <x v="2"/>
    <n v="30"/>
    <x v="3"/>
    <x v="0"/>
  </r>
  <r>
    <n v="13296"/>
    <x v="0"/>
    <x v="1"/>
    <n v="110000"/>
    <n v="1"/>
    <x v="0"/>
    <x v="4"/>
    <x v="0"/>
    <n v="3"/>
    <s v="5-10 Miles"/>
    <x v="2"/>
    <n v="45"/>
    <x v="0"/>
    <x v="0"/>
  </r>
  <r>
    <n v="20535"/>
    <x v="0"/>
    <x v="0"/>
    <n v="70000"/>
    <n v="4"/>
    <x v="1"/>
    <x v="2"/>
    <x v="0"/>
    <n v="1"/>
    <s v="10+ Miles"/>
    <x v="2"/>
    <n v="56"/>
    <x v="1"/>
    <x v="0"/>
  </r>
  <r>
    <n v="12452"/>
    <x v="0"/>
    <x v="1"/>
    <n v="60000"/>
    <n v="4"/>
    <x v="4"/>
    <x v="0"/>
    <x v="0"/>
    <n v="0"/>
    <s v="1-2 Miles"/>
    <x v="2"/>
    <n v="47"/>
    <x v="2"/>
    <x v="1"/>
  </r>
  <r>
    <n v="28043"/>
    <x v="0"/>
    <x v="0"/>
    <n v="60000"/>
    <n v="2"/>
    <x v="0"/>
    <x v="4"/>
    <x v="0"/>
    <n v="0"/>
    <s v="10+ Miles"/>
    <x v="2"/>
    <n v="56"/>
    <x v="1"/>
    <x v="0"/>
  </r>
  <r>
    <n v="12957"/>
    <x v="1"/>
    <x v="0"/>
    <n v="70000"/>
    <n v="1"/>
    <x v="0"/>
    <x v="2"/>
    <x v="1"/>
    <n v="1"/>
    <s v="0-1 Miles"/>
    <x v="2"/>
    <n v="44"/>
    <x v="0"/>
    <x v="0"/>
  </r>
  <r>
    <n v="15412"/>
    <x v="0"/>
    <x v="1"/>
    <n v="130000"/>
    <n v="2"/>
    <x v="4"/>
    <x v="4"/>
    <x v="0"/>
    <n v="3"/>
    <s v="2-5 Miles"/>
    <x v="2"/>
    <n v="69"/>
    <x v="4"/>
    <x v="0"/>
  </r>
  <r>
    <n v="20514"/>
    <x v="0"/>
    <x v="0"/>
    <n v="70000"/>
    <n v="2"/>
    <x v="1"/>
    <x v="2"/>
    <x v="0"/>
    <n v="1"/>
    <s v="2-5 Miles"/>
    <x v="2"/>
    <n v="59"/>
    <x v="1"/>
    <x v="0"/>
  </r>
  <r>
    <n v="20758"/>
    <x v="0"/>
    <x v="1"/>
    <n v="30000"/>
    <n v="2"/>
    <x v="2"/>
    <x v="0"/>
    <x v="0"/>
    <n v="2"/>
    <s v="1-2 Miles"/>
    <x v="2"/>
    <n v="50"/>
    <x v="2"/>
    <x v="0"/>
  </r>
  <r>
    <n v="11801"/>
    <x v="0"/>
    <x v="1"/>
    <n v="60000"/>
    <n v="1"/>
    <x v="4"/>
    <x v="2"/>
    <x v="0"/>
    <n v="0"/>
    <s v="2-5 Miles"/>
    <x v="2"/>
    <n v="36"/>
    <x v="0"/>
    <x v="0"/>
  </r>
  <r>
    <n v="22211"/>
    <x v="0"/>
    <x v="1"/>
    <n v="60000"/>
    <n v="0"/>
    <x v="1"/>
    <x v="2"/>
    <x v="0"/>
    <n v="2"/>
    <s v="5-10 Miles"/>
    <x v="2"/>
    <n v="32"/>
    <x v="3"/>
    <x v="0"/>
  </r>
  <r>
    <n v="28087"/>
    <x v="1"/>
    <x v="0"/>
    <n v="40000"/>
    <n v="0"/>
    <x v="1"/>
    <x v="0"/>
    <x v="1"/>
    <n v="1"/>
    <s v="1-2 Miles"/>
    <x v="2"/>
    <n v="27"/>
    <x v="3"/>
    <x v="0"/>
  </r>
  <r>
    <n v="23668"/>
    <x v="0"/>
    <x v="0"/>
    <n v="40000"/>
    <n v="4"/>
    <x v="2"/>
    <x v="2"/>
    <x v="0"/>
    <n v="2"/>
    <s v="5-10 Miles"/>
    <x v="2"/>
    <n v="59"/>
    <x v="1"/>
    <x v="1"/>
  </r>
  <r>
    <n v="27441"/>
    <x v="0"/>
    <x v="1"/>
    <n v="60000"/>
    <n v="3"/>
    <x v="2"/>
    <x v="2"/>
    <x v="1"/>
    <n v="2"/>
    <s v="2-5 Miles"/>
    <x v="2"/>
    <n v="53"/>
    <x v="2"/>
    <x v="0"/>
  </r>
  <r>
    <n v="27261"/>
    <x v="0"/>
    <x v="1"/>
    <n v="40000"/>
    <n v="1"/>
    <x v="0"/>
    <x v="0"/>
    <x v="1"/>
    <n v="1"/>
    <s v="0-1 Miles"/>
    <x v="2"/>
    <n v="36"/>
    <x v="0"/>
    <x v="1"/>
  </r>
  <r>
    <n v="18649"/>
    <x v="1"/>
    <x v="1"/>
    <n v="30000"/>
    <n v="1"/>
    <x v="2"/>
    <x v="1"/>
    <x v="0"/>
    <n v="2"/>
    <s v="1-2 Miles"/>
    <x v="2"/>
    <n v="51"/>
    <x v="2"/>
    <x v="1"/>
  </r>
  <r>
    <n v="21714"/>
    <x v="1"/>
    <x v="0"/>
    <n v="80000"/>
    <n v="5"/>
    <x v="4"/>
    <x v="0"/>
    <x v="1"/>
    <n v="0"/>
    <s v="0-1 Miles"/>
    <x v="2"/>
    <n v="47"/>
    <x v="2"/>
    <x v="0"/>
  </r>
  <r>
    <n v="23217"/>
    <x v="1"/>
    <x v="0"/>
    <n v="60000"/>
    <n v="3"/>
    <x v="4"/>
    <x v="2"/>
    <x v="0"/>
    <n v="0"/>
    <s v="2-5 Miles"/>
    <x v="2"/>
    <n v="43"/>
    <x v="0"/>
    <x v="1"/>
  </r>
  <r>
    <n v="23797"/>
    <x v="1"/>
    <x v="1"/>
    <n v="20000"/>
    <n v="3"/>
    <x v="3"/>
    <x v="1"/>
    <x v="1"/>
    <n v="2"/>
    <s v="0-1 Miles"/>
    <x v="2"/>
    <n v="50"/>
    <x v="2"/>
    <x v="0"/>
  </r>
  <r>
    <n v="13216"/>
    <x v="0"/>
    <x v="0"/>
    <n v="60000"/>
    <n v="5"/>
    <x v="0"/>
    <x v="4"/>
    <x v="0"/>
    <n v="3"/>
    <s v="10+ Miles"/>
    <x v="2"/>
    <n v="59"/>
    <x v="1"/>
    <x v="0"/>
  </r>
  <r>
    <n v="20657"/>
    <x v="1"/>
    <x v="1"/>
    <n v="50000"/>
    <n v="2"/>
    <x v="0"/>
    <x v="0"/>
    <x v="0"/>
    <n v="0"/>
    <s v="2-5 Miles"/>
    <x v="2"/>
    <n v="37"/>
    <x v="0"/>
    <x v="1"/>
  </r>
  <r>
    <n v="12882"/>
    <x v="0"/>
    <x v="1"/>
    <n v="50000"/>
    <n v="1"/>
    <x v="4"/>
    <x v="0"/>
    <x v="0"/>
    <n v="0"/>
    <s v="0-1 Miles"/>
    <x v="2"/>
    <n v="33"/>
    <x v="3"/>
    <x v="1"/>
  </r>
  <r>
    <n v="25908"/>
    <x v="0"/>
    <x v="0"/>
    <n v="60000"/>
    <n v="0"/>
    <x v="1"/>
    <x v="0"/>
    <x v="1"/>
    <n v="1"/>
    <s v="1-2 Miles"/>
    <x v="2"/>
    <n v="27"/>
    <x v="3"/>
    <x v="0"/>
  </r>
  <r>
    <n v="16753"/>
    <x v="1"/>
    <x v="0"/>
    <n v="70000"/>
    <n v="0"/>
    <x v="1"/>
    <x v="0"/>
    <x v="0"/>
    <n v="2"/>
    <s v="5-10 Miles"/>
    <x v="2"/>
    <n v="34"/>
    <x v="3"/>
    <x v="1"/>
  </r>
  <r>
    <n v="14608"/>
    <x v="0"/>
    <x v="1"/>
    <n v="50000"/>
    <n v="4"/>
    <x v="0"/>
    <x v="0"/>
    <x v="0"/>
    <n v="3"/>
    <s v="10+ Miles"/>
    <x v="2"/>
    <n v="42"/>
    <x v="0"/>
    <x v="0"/>
  </r>
  <r>
    <n v="24979"/>
    <x v="0"/>
    <x v="0"/>
    <n v="60000"/>
    <n v="2"/>
    <x v="1"/>
    <x v="2"/>
    <x v="0"/>
    <n v="2"/>
    <s v="2-5 Miles"/>
    <x v="2"/>
    <n v="57"/>
    <x v="1"/>
    <x v="1"/>
  </r>
  <r>
    <n v="13313"/>
    <x v="0"/>
    <x v="0"/>
    <n v="120000"/>
    <n v="1"/>
    <x v="2"/>
    <x v="2"/>
    <x v="1"/>
    <n v="4"/>
    <s v="2-5 Miles"/>
    <x v="2"/>
    <n v="45"/>
    <x v="0"/>
    <x v="0"/>
  </r>
  <r>
    <n v="18952"/>
    <x v="0"/>
    <x v="0"/>
    <n v="100000"/>
    <n v="4"/>
    <x v="0"/>
    <x v="4"/>
    <x v="0"/>
    <n v="4"/>
    <s v="0-1 Miles"/>
    <x v="2"/>
    <n v="40"/>
    <x v="0"/>
    <x v="0"/>
  </r>
  <r>
    <n v="17699"/>
    <x v="0"/>
    <x v="1"/>
    <n v="60000"/>
    <n v="1"/>
    <x v="4"/>
    <x v="0"/>
    <x v="1"/>
    <n v="0"/>
    <s v="0-1 Miles"/>
    <x v="2"/>
    <n v="55"/>
    <x v="2"/>
    <x v="0"/>
  </r>
  <r>
    <n v="14657"/>
    <x v="0"/>
    <x v="1"/>
    <n v="80000"/>
    <n v="1"/>
    <x v="1"/>
    <x v="0"/>
    <x v="1"/>
    <n v="1"/>
    <s v="0-1 Miles"/>
    <x v="2"/>
    <n v="47"/>
    <x v="2"/>
    <x v="1"/>
  </r>
  <r>
    <n v="11540"/>
    <x v="1"/>
    <x v="1"/>
    <n v="60000"/>
    <n v="4"/>
    <x v="4"/>
    <x v="0"/>
    <x v="0"/>
    <n v="0"/>
    <s v="1-2 Miles"/>
    <x v="2"/>
    <n v="47"/>
    <x v="2"/>
    <x v="1"/>
  </r>
  <r>
    <n v="11783"/>
    <x v="0"/>
    <x v="0"/>
    <n v="60000"/>
    <n v="1"/>
    <x v="4"/>
    <x v="0"/>
    <x v="0"/>
    <n v="0"/>
    <s v="0-1 Miles"/>
    <x v="2"/>
    <n v="34"/>
    <x v="3"/>
    <x v="0"/>
  </r>
  <r>
    <n v="14602"/>
    <x v="0"/>
    <x v="0"/>
    <n v="80000"/>
    <n v="3"/>
    <x v="4"/>
    <x v="2"/>
    <x v="0"/>
    <n v="0"/>
    <s v="0-1 Miles"/>
    <x v="2"/>
    <n v="36"/>
    <x v="0"/>
    <x v="1"/>
  </r>
  <r>
    <n v="29030"/>
    <x v="0"/>
    <x v="1"/>
    <n v="70000"/>
    <n v="2"/>
    <x v="3"/>
    <x v="0"/>
    <x v="0"/>
    <n v="2"/>
    <s v="10+ Miles"/>
    <x v="2"/>
    <n v="54"/>
    <x v="2"/>
    <x v="0"/>
  </r>
  <r>
    <n v="26490"/>
    <x v="1"/>
    <x v="1"/>
    <n v="70000"/>
    <n v="2"/>
    <x v="0"/>
    <x v="4"/>
    <x v="1"/>
    <n v="1"/>
    <s v="2-5 Miles"/>
    <x v="2"/>
    <n v="59"/>
    <x v="1"/>
    <x v="1"/>
  </r>
  <r>
    <n v="13151"/>
    <x v="1"/>
    <x v="1"/>
    <n v="40000"/>
    <n v="0"/>
    <x v="2"/>
    <x v="0"/>
    <x v="0"/>
    <n v="2"/>
    <s v="5-10 Miles"/>
    <x v="2"/>
    <n v="27"/>
    <x v="3"/>
    <x v="0"/>
  </r>
  <r>
    <n v="17260"/>
    <x v="0"/>
    <x v="1"/>
    <n v="90000"/>
    <n v="5"/>
    <x v="1"/>
    <x v="2"/>
    <x v="0"/>
    <n v="3"/>
    <s v="0-1 Miles"/>
    <x v="2"/>
    <n v="41"/>
    <x v="0"/>
    <x v="0"/>
  </r>
  <r>
    <n v="15372"/>
    <x v="0"/>
    <x v="1"/>
    <n v="80000"/>
    <n v="3"/>
    <x v="1"/>
    <x v="2"/>
    <x v="1"/>
    <n v="2"/>
    <s v="2-5 Miles"/>
    <x v="2"/>
    <n v="50"/>
    <x v="2"/>
    <x v="1"/>
  </r>
  <r>
    <n v="18105"/>
    <x v="0"/>
    <x v="0"/>
    <n v="60000"/>
    <n v="2"/>
    <x v="1"/>
    <x v="2"/>
    <x v="0"/>
    <n v="1"/>
    <s v="10+ Miles"/>
    <x v="2"/>
    <n v="55"/>
    <x v="2"/>
    <x v="0"/>
  </r>
  <r>
    <n v="19660"/>
    <x v="0"/>
    <x v="1"/>
    <n v="80000"/>
    <n v="4"/>
    <x v="0"/>
    <x v="4"/>
    <x v="0"/>
    <n v="0"/>
    <s v="0-1 Miles"/>
    <x v="2"/>
    <n v="43"/>
    <x v="0"/>
    <x v="0"/>
  </r>
  <r>
    <n v="16112"/>
    <x v="1"/>
    <x v="1"/>
    <n v="70000"/>
    <n v="4"/>
    <x v="0"/>
    <x v="2"/>
    <x v="0"/>
    <n v="2"/>
    <s v="2-5 Miles"/>
    <x v="2"/>
    <n v="43"/>
    <x v="0"/>
    <x v="1"/>
  </r>
  <r>
    <n v="20698"/>
    <x v="0"/>
    <x v="1"/>
    <n v="60000"/>
    <n v="4"/>
    <x v="0"/>
    <x v="0"/>
    <x v="0"/>
    <n v="3"/>
    <s v="5-10 Miles"/>
    <x v="2"/>
    <n v="42"/>
    <x v="0"/>
    <x v="0"/>
  </r>
  <r>
    <n v="20076"/>
    <x v="1"/>
    <x v="0"/>
    <n v="10000"/>
    <n v="2"/>
    <x v="2"/>
    <x v="3"/>
    <x v="0"/>
    <n v="2"/>
    <s v="1-2 Miles"/>
    <x v="2"/>
    <n v="53"/>
    <x v="2"/>
    <x v="1"/>
  </r>
  <r>
    <n v="24496"/>
    <x v="1"/>
    <x v="0"/>
    <n v="40000"/>
    <n v="0"/>
    <x v="2"/>
    <x v="0"/>
    <x v="1"/>
    <n v="2"/>
    <s v="0-1 Miles"/>
    <x v="2"/>
    <n v="28"/>
    <x v="3"/>
    <x v="1"/>
  </r>
  <r>
    <n v="15468"/>
    <x v="0"/>
    <x v="0"/>
    <n v="50000"/>
    <n v="1"/>
    <x v="0"/>
    <x v="0"/>
    <x v="0"/>
    <n v="1"/>
    <s v="0-1 Miles"/>
    <x v="2"/>
    <n v="35"/>
    <x v="3"/>
    <x v="0"/>
  </r>
  <r>
    <n v="28031"/>
    <x v="1"/>
    <x v="0"/>
    <n v="70000"/>
    <n v="2"/>
    <x v="0"/>
    <x v="4"/>
    <x v="1"/>
    <n v="1"/>
    <s v="2-5 Miles"/>
    <x v="2"/>
    <n v="59"/>
    <x v="1"/>
    <x v="1"/>
  </r>
  <r>
    <n v="26270"/>
    <x v="1"/>
    <x v="0"/>
    <n v="20000"/>
    <n v="2"/>
    <x v="3"/>
    <x v="1"/>
    <x v="0"/>
    <n v="2"/>
    <s v="1-2 Miles"/>
    <x v="2"/>
    <n v="49"/>
    <x v="2"/>
    <x v="0"/>
  </r>
  <r>
    <n v="22221"/>
    <x v="0"/>
    <x v="1"/>
    <n v="60000"/>
    <n v="2"/>
    <x v="2"/>
    <x v="2"/>
    <x v="1"/>
    <n v="2"/>
    <s v="1-2 Miles"/>
    <x v="2"/>
    <n v="48"/>
    <x v="2"/>
    <x v="1"/>
  </r>
  <r>
    <n v="28228"/>
    <x v="1"/>
    <x v="0"/>
    <n v="80000"/>
    <n v="2"/>
    <x v="3"/>
    <x v="0"/>
    <x v="1"/>
    <n v="2"/>
    <s v="1-2 Miles"/>
    <x v="2"/>
    <n v="50"/>
    <x v="2"/>
    <x v="0"/>
  </r>
  <r>
    <n v="18363"/>
    <x v="0"/>
    <x v="1"/>
    <n v="40000"/>
    <n v="0"/>
    <x v="2"/>
    <x v="0"/>
    <x v="0"/>
    <n v="2"/>
    <s v="5-10 Miles"/>
    <x v="2"/>
    <n v="28"/>
    <x v="3"/>
    <x v="1"/>
  </r>
  <r>
    <n v="23256"/>
    <x v="1"/>
    <x v="1"/>
    <n v="30000"/>
    <n v="1"/>
    <x v="2"/>
    <x v="1"/>
    <x v="1"/>
    <n v="1"/>
    <s v="5-10 Miles"/>
    <x v="2"/>
    <n v="52"/>
    <x v="2"/>
    <x v="0"/>
  </r>
  <r>
    <n v="12768"/>
    <x v="0"/>
    <x v="1"/>
    <n v="30000"/>
    <n v="1"/>
    <x v="2"/>
    <x v="1"/>
    <x v="0"/>
    <n v="1"/>
    <s v="2-5 Miles"/>
    <x v="2"/>
    <n v="52"/>
    <x v="2"/>
    <x v="1"/>
  </r>
  <r>
    <n v="20361"/>
    <x v="0"/>
    <x v="1"/>
    <n v="50000"/>
    <n v="2"/>
    <x v="4"/>
    <x v="4"/>
    <x v="0"/>
    <n v="2"/>
    <s v="5-10 Miles"/>
    <x v="2"/>
    <n v="69"/>
    <x v="4"/>
    <x v="0"/>
  </r>
  <r>
    <n v="21306"/>
    <x v="1"/>
    <x v="1"/>
    <n v="60000"/>
    <n v="2"/>
    <x v="2"/>
    <x v="2"/>
    <x v="0"/>
    <n v="2"/>
    <s v="5-10 Miles"/>
    <x v="2"/>
    <n v="51"/>
    <x v="2"/>
    <x v="0"/>
  </r>
  <r>
    <n v="13382"/>
    <x v="0"/>
    <x v="1"/>
    <n v="70000"/>
    <n v="5"/>
    <x v="1"/>
    <x v="2"/>
    <x v="0"/>
    <n v="2"/>
    <s v="1-2 Miles"/>
    <x v="2"/>
    <n v="57"/>
    <x v="1"/>
    <x v="1"/>
  </r>
  <r>
    <n v="20310"/>
    <x v="1"/>
    <x v="1"/>
    <n v="60000"/>
    <n v="0"/>
    <x v="1"/>
    <x v="0"/>
    <x v="0"/>
    <n v="1"/>
    <s v="5-10 Miles"/>
    <x v="2"/>
    <n v="27"/>
    <x v="3"/>
    <x v="1"/>
  </r>
  <r>
    <n v="22971"/>
    <x v="1"/>
    <x v="0"/>
    <n v="30000"/>
    <n v="0"/>
    <x v="2"/>
    <x v="0"/>
    <x v="1"/>
    <n v="2"/>
    <s v="0-1 Miles"/>
    <x v="2"/>
    <n v="25"/>
    <x v="3"/>
    <x v="1"/>
  </r>
  <r>
    <n v="15287"/>
    <x v="1"/>
    <x v="0"/>
    <n v="50000"/>
    <n v="1"/>
    <x v="4"/>
    <x v="0"/>
    <x v="0"/>
    <n v="0"/>
    <s v="1-2 Miles"/>
    <x v="2"/>
    <n v="33"/>
    <x v="3"/>
    <x v="1"/>
  </r>
  <r>
    <n v="15532"/>
    <x v="1"/>
    <x v="1"/>
    <n v="60000"/>
    <n v="4"/>
    <x v="0"/>
    <x v="2"/>
    <x v="0"/>
    <n v="2"/>
    <s v="2-5 Miles"/>
    <x v="2"/>
    <n v="43"/>
    <x v="0"/>
    <x v="1"/>
  </r>
  <r>
    <n v="11255"/>
    <x v="0"/>
    <x v="1"/>
    <n v="70000"/>
    <n v="4"/>
    <x v="4"/>
    <x v="4"/>
    <x v="0"/>
    <n v="2"/>
    <s v="5-10 Miles"/>
    <x v="2"/>
    <n v="73"/>
    <x v="4"/>
    <x v="0"/>
  </r>
  <r>
    <n v="28090"/>
    <x v="0"/>
    <x v="1"/>
    <n v="40000"/>
    <n v="0"/>
    <x v="1"/>
    <x v="0"/>
    <x v="0"/>
    <n v="1"/>
    <s v="5-10 Miles"/>
    <x v="2"/>
    <n v="27"/>
    <x v="3"/>
    <x v="0"/>
  </r>
  <r>
    <n v="15255"/>
    <x v="0"/>
    <x v="1"/>
    <n v="40000"/>
    <n v="0"/>
    <x v="2"/>
    <x v="0"/>
    <x v="0"/>
    <n v="2"/>
    <s v="5-10 Miles"/>
    <x v="2"/>
    <n v="28"/>
    <x v="3"/>
    <x v="1"/>
  </r>
  <r>
    <n v="13154"/>
    <x v="0"/>
    <x v="1"/>
    <n v="40000"/>
    <n v="0"/>
    <x v="2"/>
    <x v="0"/>
    <x v="1"/>
    <n v="2"/>
    <s v="0-1 Miles"/>
    <x v="2"/>
    <n v="27"/>
    <x v="3"/>
    <x v="1"/>
  </r>
  <r>
    <n v="26778"/>
    <x v="1"/>
    <x v="0"/>
    <n v="40000"/>
    <n v="0"/>
    <x v="2"/>
    <x v="0"/>
    <x v="0"/>
    <n v="2"/>
    <s v="5-10 Miles"/>
    <x v="2"/>
    <n v="31"/>
    <x v="3"/>
    <x v="0"/>
  </r>
  <r>
    <n v="23248"/>
    <x v="0"/>
    <x v="0"/>
    <n v="10000"/>
    <n v="2"/>
    <x v="2"/>
    <x v="3"/>
    <x v="0"/>
    <n v="2"/>
    <s v="1-2 Miles"/>
    <x v="2"/>
    <n v="53"/>
    <x v="2"/>
    <x v="0"/>
  </r>
  <r>
    <n v="21417"/>
    <x v="1"/>
    <x v="0"/>
    <n v="60000"/>
    <n v="0"/>
    <x v="1"/>
    <x v="2"/>
    <x v="1"/>
    <n v="2"/>
    <s v="1-2 Miles"/>
    <x v="2"/>
    <n v="32"/>
    <x v="3"/>
    <x v="1"/>
  </r>
  <r>
    <n v="17668"/>
    <x v="1"/>
    <x v="1"/>
    <n v="30000"/>
    <n v="2"/>
    <x v="2"/>
    <x v="0"/>
    <x v="0"/>
    <n v="2"/>
    <s v="1-2 Miles"/>
    <x v="2"/>
    <n v="50"/>
    <x v="2"/>
    <x v="1"/>
  </r>
  <r>
    <n v="27994"/>
    <x v="0"/>
    <x v="0"/>
    <n v="40000"/>
    <n v="4"/>
    <x v="2"/>
    <x v="2"/>
    <x v="0"/>
    <n v="2"/>
    <s v="5-10 Miles"/>
    <x v="2"/>
    <n v="69"/>
    <x v="4"/>
    <x v="0"/>
  </r>
  <r>
    <n v="20376"/>
    <x v="1"/>
    <x v="0"/>
    <n v="70000"/>
    <n v="3"/>
    <x v="4"/>
    <x v="4"/>
    <x v="0"/>
    <n v="2"/>
    <s v="5-10 Miles"/>
    <x v="2"/>
    <n v="52"/>
    <x v="2"/>
    <x v="1"/>
  </r>
  <r>
    <n v="25954"/>
    <x v="0"/>
    <x v="1"/>
    <n v="60000"/>
    <n v="0"/>
    <x v="1"/>
    <x v="0"/>
    <x v="1"/>
    <n v="2"/>
    <s v="1-2 Miles"/>
    <x v="2"/>
    <n v="31"/>
    <x v="3"/>
    <x v="0"/>
  </r>
  <r>
    <n v="15749"/>
    <x v="1"/>
    <x v="0"/>
    <n v="70000"/>
    <n v="4"/>
    <x v="0"/>
    <x v="4"/>
    <x v="0"/>
    <n v="2"/>
    <s v="10+ Miles"/>
    <x v="2"/>
    <n v="61"/>
    <x v="1"/>
    <x v="0"/>
  </r>
  <r>
    <n v="25899"/>
    <x v="0"/>
    <x v="0"/>
    <n v="70000"/>
    <n v="2"/>
    <x v="2"/>
    <x v="2"/>
    <x v="0"/>
    <n v="2"/>
    <s v="10+ Miles"/>
    <x v="2"/>
    <n v="53"/>
    <x v="2"/>
    <x v="0"/>
  </r>
  <r>
    <n v="13351"/>
    <x v="1"/>
    <x v="0"/>
    <n v="70000"/>
    <n v="4"/>
    <x v="0"/>
    <x v="4"/>
    <x v="0"/>
    <n v="2"/>
    <s v="1-2 Miles"/>
    <x v="2"/>
    <n v="62"/>
    <x v="1"/>
    <x v="1"/>
  </r>
  <r>
    <n v="23333"/>
    <x v="0"/>
    <x v="1"/>
    <n v="40000"/>
    <n v="0"/>
    <x v="1"/>
    <x v="0"/>
    <x v="1"/>
    <n v="2"/>
    <s v="1-2 Miles"/>
    <x v="2"/>
    <n v="30"/>
    <x v="3"/>
    <x v="0"/>
  </r>
  <r>
    <n v="21660"/>
    <x v="0"/>
    <x v="0"/>
    <n v="60000"/>
    <n v="3"/>
    <x v="4"/>
    <x v="2"/>
    <x v="0"/>
    <n v="0"/>
    <s v="2-5 Miles"/>
    <x v="2"/>
    <n v="43"/>
    <x v="0"/>
    <x v="1"/>
  </r>
  <r>
    <n v="17012"/>
    <x v="0"/>
    <x v="0"/>
    <n v="60000"/>
    <n v="3"/>
    <x v="4"/>
    <x v="2"/>
    <x v="0"/>
    <n v="0"/>
    <s v="2-5 Miles"/>
    <x v="2"/>
    <n v="42"/>
    <x v="0"/>
    <x v="1"/>
  </r>
  <r>
    <n v="24514"/>
    <x v="0"/>
    <x v="1"/>
    <n v="40000"/>
    <n v="0"/>
    <x v="1"/>
    <x v="0"/>
    <x v="0"/>
    <n v="1"/>
    <s v="5-10 Miles"/>
    <x v="2"/>
    <n v="30"/>
    <x v="3"/>
    <x v="0"/>
  </r>
  <r>
    <n v="27505"/>
    <x v="1"/>
    <x v="0"/>
    <n v="40000"/>
    <n v="0"/>
    <x v="2"/>
    <x v="0"/>
    <x v="0"/>
    <n v="2"/>
    <s v="5-10 Miles"/>
    <x v="2"/>
    <n v="30"/>
    <x v="3"/>
    <x v="0"/>
  </r>
  <r>
    <n v="29243"/>
    <x v="1"/>
    <x v="1"/>
    <n v="110000"/>
    <n v="1"/>
    <x v="0"/>
    <x v="4"/>
    <x v="0"/>
    <n v="1"/>
    <s v="5-10 Miles"/>
    <x v="2"/>
    <n v="43"/>
    <x v="0"/>
    <x v="0"/>
  </r>
  <r>
    <n v="26582"/>
    <x v="0"/>
    <x v="1"/>
    <n v="60000"/>
    <n v="0"/>
    <x v="1"/>
    <x v="0"/>
    <x v="0"/>
    <n v="2"/>
    <s v="5-10 Miles"/>
    <x v="2"/>
    <n v="33"/>
    <x v="3"/>
    <x v="1"/>
  </r>
  <r>
    <n v="14271"/>
    <x v="0"/>
    <x v="1"/>
    <n v="30000"/>
    <n v="0"/>
    <x v="2"/>
    <x v="0"/>
    <x v="0"/>
    <n v="2"/>
    <s v="5-10 Miles"/>
    <x v="2"/>
    <n v="32"/>
    <x v="3"/>
    <x v="0"/>
  </r>
  <r>
    <n v="23041"/>
    <x v="1"/>
    <x v="0"/>
    <n v="70000"/>
    <n v="4"/>
    <x v="2"/>
    <x v="2"/>
    <x v="0"/>
    <n v="0"/>
    <s v="5-10 Miles"/>
    <x v="2"/>
    <n v="50"/>
    <x v="2"/>
    <x v="1"/>
  </r>
  <r>
    <n v="29048"/>
    <x v="1"/>
    <x v="1"/>
    <n v="110000"/>
    <n v="2"/>
    <x v="0"/>
    <x v="4"/>
    <x v="1"/>
    <n v="3"/>
    <s v="0-1 Miles"/>
    <x v="2"/>
    <n v="37"/>
    <x v="0"/>
    <x v="1"/>
  </r>
  <r>
    <n v="24433"/>
    <x v="0"/>
    <x v="1"/>
    <n v="70000"/>
    <n v="3"/>
    <x v="2"/>
    <x v="2"/>
    <x v="1"/>
    <n v="1"/>
    <s v="1-2 Miles"/>
    <x v="2"/>
    <n v="52"/>
    <x v="2"/>
    <x v="1"/>
  </r>
  <r>
    <n v="15501"/>
    <x v="0"/>
    <x v="1"/>
    <n v="70000"/>
    <n v="4"/>
    <x v="4"/>
    <x v="2"/>
    <x v="0"/>
    <n v="0"/>
    <s v="2-5 Miles"/>
    <x v="2"/>
    <n v="36"/>
    <x v="0"/>
    <x v="1"/>
  </r>
  <r>
    <n v="13911"/>
    <x v="1"/>
    <x v="0"/>
    <n v="80000"/>
    <n v="3"/>
    <x v="0"/>
    <x v="0"/>
    <x v="0"/>
    <n v="2"/>
    <s v="2-5 Miles"/>
    <x v="2"/>
    <n v="41"/>
    <x v="0"/>
    <x v="1"/>
  </r>
  <r>
    <n v="20421"/>
    <x v="1"/>
    <x v="0"/>
    <n v="40000"/>
    <n v="0"/>
    <x v="3"/>
    <x v="1"/>
    <x v="0"/>
    <n v="2"/>
    <s v="5-10 Miles"/>
    <x v="2"/>
    <n v="26"/>
    <x v="3"/>
    <x v="0"/>
  </r>
  <r>
    <n v="16009"/>
    <x v="1"/>
    <x v="1"/>
    <n v="170000"/>
    <n v="1"/>
    <x v="4"/>
    <x v="4"/>
    <x v="1"/>
    <n v="4"/>
    <s v="0-1 Miles"/>
    <x v="2"/>
    <n v="66"/>
    <x v="4"/>
    <x v="0"/>
  </r>
  <r>
    <n v="18411"/>
    <x v="0"/>
    <x v="1"/>
    <n v="60000"/>
    <n v="2"/>
    <x v="2"/>
    <x v="2"/>
    <x v="1"/>
    <n v="2"/>
    <s v="5-10 Miles"/>
    <x v="2"/>
    <n v="51"/>
    <x v="2"/>
    <x v="0"/>
  </r>
  <r>
    <n v="19163"/>
    <x v="0"/>
    <x v="0"/>
    <n v="70000"/>
    <n v="4"/>
    <x v="0"/>
    <x v="2"/>
    <x v="0"/>
    <n v="2"/>
    <s v="0-1 Miles"/>
    <x v="2"/>
    <n v="43"/>
    <x v="0"/>
    <x v="1"/>
  </r>
  <r>
    <n v="18572"/>
    <x v="0"/>
    <x v="0"/>
    <n v="60000"/>
    <n v="0"/>
    <x v="4"/>
    <x v="2"/>
    <x v="0"/>
    <n v="0"/>
    <s v="0-1 Miles"/>
    <x v="2"/>
    <n v="39"/>
    <x v="0"/>
    <x v="0"/>
  </r>
  <r>
    <n v="27540"/>
    <x v="1"/>
    <x v="0"/>
    <n v="70000"/>
    <n v="0"/>
    <x v="0"/>
    <x v="2"/>
    <x v="1"/>
    <n v="1"/>
    <s v="0-1 Miles"/>
    <x v="2"/>
    <n v="37"/>
    <x v="0"/>
    <x v="1"/>
  </r>
  <r>
    <n v="19889"/>
    <x v="1"/>
    <x v="0"/>
    <n v="70000"/>
    <n v="2"/>
    <x v="3"/>
    <x v="0"/>
    <x v="1"/>
    <n v="2"/>
    <s v="2-5 Miles"/>
    <x v="2"/>
    <n v="54"/>
    <x v="2"/>
    <x v="1"/>
  </r>
  <r>
    <n v="12922"/>
    <x v="1"/>
    <x v="0"/>
    <n v="60000"/>
    <n v="3"/>
    <x v="0"/>
    <x v="0"/>
    <x v="0"/>
    <n v="0"/>
    <s v="2-5 Miles"/>
    <x v="2"/>
    <n v="40"/>
    <x v="0"/>
    <x v="1"/>
  </r>
  <r>
    <n v="18891"/>
    <x v="0"/>
    <x v="0"/>
    <n v="40000"/>
    <n v="0"/>
    <x v="1"/>
    <x v="0"/>
    <x v="0"/>
    <n v="2"/>
    <s v="5-10 Miles"/>
    <x v="2"/>
    <n v="28"/>
    <x v="3"/>
    <x v="0"/>
  </r>
  <r>
    <n v="16773"/>
    <x v="0"/>
    <x v="1"/>
    <n v="60000"/>
    <n v="1"/>
    <x v="4"/>
    <x v="0"/>
    <x v="0"/>
    <n v="0"/>
    <s v="0-1 Miles"/>
    <x v="2"/>
    <n v="33"/>
    <x v="3"/>
    <x v="0"/>
  </r>
  <r>
    <n v="19143"/>
    <x v="1"/>
    <x v="0"/>
    <n v="80000"/>
    <n v="3"/>
    <x v="0"/>
    <x v="0"/>
    <x v="0"/>
    <n v="2"/>
    <s v="2-5 Miles"/>
    <x v="2"/>
    <n v="41"/>
    <x v="0"/>
    <x v="1"/>
  </r>
  <r>
    <n v="23882"/>
    <x v="1"/>
    <x v="0"/>
    <n v="80000"/>
    <n v="3"/>
    <x v="4"/>
    <x v="2"/>
    <x v="0"/>
    <n v="0"/>
    <s v="0-1 Miles"/>
    <x v="2"/>
    <n v="37"/>
    <x v="0"/>
    <x v="1"/>
  </r>
  <r>
    <n v="11233"/>
    <x v="0"/>
    <x v="1"/>
    <n v="70000"/>
    <n v="4"/>
    <x v="1"/>
    <x v="2"/>
    <x v="0"/>
    <n v="2"/>
    <s v="10+ Miles"/>
    <x v="2"/>
    <n v="53"/>
    <x v="2"/>
    <x v="0"/>
  </r>
  <r>
    <n v="12056"/>
    <x v="0"/>
    <x v="1"/>
    <n v="120000"/>
    <n v="2"/>
    <x v="4"/>
    <x v="4"/>
    <x v="0"/>
    <n v="3"/>
    <s v="5-10 Miles"/>
    <x v="2"/>
    <n v="64"/>
    <x v="1"/>
    <x v="0"/>
  </r>
  <r>
    <n v="15555"/>
    <x v="0"/>
    <x v="0"/>
    <n v="60000"/>
    <n v="1"/>
    <x v="1"/>
    <x v="0"/>
    <x v="0"/>
    <n v="1"/>
    <s v="2-5 Miles"/>
    <x v="2"/>
    <n v="45"/>
    <x v="0"/>
    <x v="1"/>
  </r>
  <r>
    <n v="18423"/>
    <x v="1"/>
    <x v="1"/>
    <n v="80000"/>
    <n v="2"/>
    <x v="3"/>
    <x v="0"/>
    <x v="1"/>
    <n v="2"/>
    <s v="1-2 Miles"/>
    <x v="2"/>
    <n v="52"/>
    <x v="2"/>
    <x v="0"/>
  </r>
  <r>
    <n v="22743"/>
    <x v="0"/>
    <x v="0"/>
    <n v="40000"/>
    <n v="5"/>
    <x v="2"/>
    <x v="2"/>
    <x v="0"/>
    <n v="2"/>
    <s v="10+ Miles"/>
    <x v="2"/>
    <n v="60"/>
    <x v="1"/>
    <x v="0"/>
  </r>
  <r>
    <n v="25343"/>
    <x v="1"/>
    <x v="0"/>
    <n v="20000"/>
    <n v="3"/>
    <x v="3"/>
    <x v="1"/>
    <x v="0"/>
    <n v="2"/>
    <s v="1-2 Miles"/>
    <x v="2"/>
    <n v="50"/>
    <x v="2"/>
    <x v="0"/>
  </r>
  <r>
    <n v="13390"/>
    <x v="0"/>
    <x v="0"/>
    <n v="70000"/>
    <n v="4"/>
    <x v="1"/>
    <x v="2"/>
    <x v="1"/>
    <n v="1"/>
    <s v="1-2 Miles"/>
    <x v="2"/>
    <n v="56"/>
    <x v="1"/>
    <x v="0"/>
  </r>
  <r>
    <n v="17482"/>
    <x v="1"/>
    <x v="0"/>
    <n v="40000"/>
    <n v="0"/>
    <x v="3"/>
    <x v="1"/>
    <x v="0"/>
    <n v="2"/>
    <s v="5-10 Miles"/>
    <x v="2"/>
    <n v="29"/>
    <x v="3"/>
    <x v="0"/>
  </r>
  <r>
    <n v="13176"/>
    <x v="1"/>
    <x v="1"/>
    <n v="130000"/>
    <n v="0"/>
    <x v="4"/>
    <x v="4"/>
    <x v="1"/>
    <n v="2"/>
    <s v="0-1 Miles"/>
    <x v="2"/>
    <n v="38"/>
    <x v="0"/>
    <x v="1"/>
  </r>
  <r>
    <n v="20504"/>
    <x v="0"/>
    <x v="0"/>
    <n v="40000"/>
    <n v="5"/>
    <x v="2"/>
    <x v="2"/>
    <x v="1"/>
    <n v="2"/>
    <s v="2-5 Miles"/>
    <x v="2"/>
    <n v="60"/>
    <x v="1"/>
    <x v="0"/>
  </r>
  <r>
    <n v="12205"/>
    <x v="1"/>
    <x v="0"/>
    <n v="130000"/>
    <n v="2"/>
    <x v="0"/>
    <x v="4"/>
    <x v="1"/>
    <n v="4"/>
    <s v="0-1 Miles"/>
    <x v="2"/>
    <n v="67"/>
    <x v="4"/>
    <x v="0"/>
  </r>
  <r>
    <n v="16751"/>
    <x v="0"/>
    <x v="1"/>
    <n v="60000"/>
    <n v="0"/>
    <x v="1"/>
    <x v="0"/>
    <x v="0"/>
    <n v="1"/>
    <s v="5-10 Miles"/>
    <x v="2"/>
    <n v="32"/>
    <x v="3"/>
    <x v="1"/>
  </r>
  <r>
    <n v="21613"/>
    <x v="1"/>
    <x v="1"/>
    <n v="50000"/>
    <n v="2"/>
    <x v="0"/>
    <x v="0"/>
    <x v="1"/>
    <n v="1"/>
    <s v="0-1 Miles"/>
    <x v="2"/>
    <n v="39"/>
    <x v="0"/>
    <x v="1"/>
  </r>
  <r>
    <n v="24801"/>
    <x v="1"/>
    <x v="1"/>
    <n v="60000"/>
    <n v="1"/>
    <x v="4"/>
    <x v="2"/>
    <x v="0"/>
    <n v="0"/>
    <s v="2-5 Miles"/>
    <x v="2"/>
    <n v="35"/>
    <x v="3"/>
    <x v="1"/>
  </r>
  <r>
    <n v="17519"/>
    <x v="0"/>
    <x v="0"/>
    <n v="60000"/>
    <n v="0"/>
    <x v="1"/>
    <x v="2"/>
    <x v="0"/>
    <n v="2"/>
    <s v="5-10 Miles"/>
    <x v="2"/>
    <n v="32"/>
    <x v="3"/>
    <x v="0"/>
  </r>
  <r>
    <n v="18347"/>
    <x v="1"/>
    <x v="0"/>
    <n v="30000"/>
    <n v="0"/>
    <x v="1"/>
    <x v="0"/>
    <x v="1"/>
    <n v="1"/>
    <s v="1-2 Miles"/>
    <x v="2"/>
    <n v="31"/>
    <x v="3"/>
    <x v="0"/>
  </r>
  <r>
    <n v="29052"/>
    <x v="1"/>
    <x v="1"/>
    <n v="40000"/>
    <n v="0"/>
    <x v="1"/>
    <x v="0"/>
    <x v="0"/>
    <n v="1"/>
    <s v="5-10 Miles"/>
    <x v="2"/>
    <n v="27"/>
    <x v="3"/>
    <x v="0"/>
  </r>
  <r>
    <n v="11745"/>
    <x v="0"/>
    <x v="0"/>
    <n v="60000"/>
    <n v="1"/>
    <x v="0"/>
    <x v="2"/>
    <x v="0"/>
    <n v="1"/>
    <s v="0-1 Miles"/>
    <x v="2"/>
    <n v="47"/>
    <x v="2"/>
    <x v="1"/>
  </r>
  <r>
    <n v="19147"/>
    <x v="0"/>
    <x v="1"/>
    <n v="40000"/>
    <n v="0"/>
    <x v="0"/>
    <x v="2"/>
    <x v="1"/>
    <n v="1"/>
    <s v="0-1 Miles"/>
    <x v="2"/>
    <n v="42"/>
    <x v="0"/>
    <x v="0"/>
  </r>
  <r>
    <n v="19217"/>
    <x v="0"/>
    <x v="1"/>
    <n v="30000"/>
    <n v="2"/>
    <x v="2"/>
    <x v="0"/>
    <x v="0"/>
    <n v="2"/>
    <s v="1-2 Miles"/>
    <x v="2"/>
    <n v="49"/>
    <x v="2"/>
    <x v="0"/>
  </r>
  <r>
    <n v="15839"/>
    <x v="1"/>
    <x v="1"/>
    <n v="30000"/>
    <n v="0"/>
    <x v="1"/>
    <x v="0"/>
    <x v="0"/>
    <n v="1"/>
    <s v="5-10 Miles"/>
    <x v="2"/>
    <n v="32"/>
    <x v="3"/>
    <x v="0"/>
  </r>
  <r>
    <n v="13714"/>
    <x v="0"/>
    <x v="0"/>
    <n v="20000"/>
    <n v="2"/>
    <x v="2"/>
    <x v="3"/>
    <x v="1"/>
    <n v="2"/>
    <s v="1-2 Miles"/>
    <x v="2"/>
    <n v="53"/>
    <x v="2"/>
    <x v="1"/>
  </r>
  <r>
    <n v="22330"/>
    <x v="0"/>
    <x v="1"/>
    <n v="50000"/>
    <n v="0"/>
    <x v="4"/>
    <x v="0"/>
    <x v="0"/>
    <n v="0"/>
    <s v="1-2 Miles"/>
    <x v="2"/>
    <n v="32"/>
    <x v="3"/>
    <x v="1"/>
  </r>
  <r>
    <n v="18783"/>
    <x v="1"/>
    <x v="1"/>
    <n v="80000"/>
    <n v="0"/>
    <x v="0"/>
    <x v="4"/>
    <x v="1"/>
    <n v="1"/>
    <s v="0-1 Miles"/>
    <x v="2"/>
    <n v="38"/>
    <x v="0"/>
    <x v="1"/>
  </r>
  <r>
    <n v="25041"/>
    <x v="1"/>
    <x v="1"/>
    <n v="40000"/>
    <n v="0"/>
    <x v="2"/>
    <x v="0"/>
    <x v="0"/>
    <n v="2"/>
    <s v="5-10 Miles"/>
    <x v="2"/>
    <n v="31"/>
    <x v="3"/>
    <x v="0"/>
  </r>
  <r>
    <n v="22046"/>
    <x v="1"/>
    <x v="0"/>
    <n v="80000"/>
    <n v="0"/>
    <x v="0"/>
    <x v="4"/>
    <x v="1"/>
    <n v="1"/>
    <s v="0-1 Miles"/>
    <x v="2"/>
    <n v="38"/>
    <x v="0"/>
    <x v="1"/>
  </r>
  <r>
    <n v="28052"/>
    <x v="0"/>
    <x v="1"/>
    <n v="60000"/>
    <n v="2"/>
    <x v="2"/>
    <x v="2"/>
    <x v="0"/>
    <n v="2"/>
    <s v="10+ Miles"/>
    <x v="2"/>
    <n v="55"/>
    <x v="2"/>
    <x v="0"/>
  </r>
  <r>
    <n v="26693"/>
    <x v="0"/>
    <x v="1"/>
    <n v="70000"/>
    <n v="3"/>
    <x v="1"/>
    <x v="2"/>
    <x v="0"/>
    <n v="1"/>
    <s v="5-10 Miles"/>
    <x v="2"/>
    <n v="49"/>
    <x v="2"/>
    <x v="0"/>
  </r>
  <r>
    <n v="24955"/>
    <x v="1"/>
    <x v="1"/>
    <n v="30000"/>
    <n v="5"/>
    <x v="3"/>
    <x v="0"/>
    <x v="0"/>
    <n v="3"/>
    <s v="10+ Miles"/>
    <x v="2"/>
    <n v="60"/>
    <x v="1"/>
    <x v="1"/>
  </r>
  <r>
    <n v="26065"/>
    <x v="1"/>
    <x v="0"/>
    <n v="110000"/>
    <n v="3"/>
    <x v="0"/>
    <x v="4"/>
    <x v="1"/>
    <n v="4"/>
    <s v="1-2 Miles"/>
    <x v="2"/>
    <n v="42"/>
    <x v="0"/>
    <x v="0"/>
  </r>
  <r>
    <n v="13942"/>
    <x v="0"/>
    <x v="1"/>
    <n v="60000"/>
    <n v="1"/>
    <x v="1"/>
    <x v="0"/>
    <x v="0"/>
    <n v="1"/>
    <s v="0-1 Miles"/>
    <x v="2"/>
    <n v="46"/>
    <x v="2"/>
    <x v="0"/>
  </r>
  <r>
    <n v="11219"/>
    <x v="0"/>
    <x v="1"/>
    <n v="60000"/>
    <n v="2"/>
    <x v="2"/>
    <x v="2"/>
    <x v="0"/>
    <n v="2"/>
    <s v="10+ Miles"/>
    <x v="2"/>
    <n v="55"/>
    <x v="2"/>
    <x v="0"/>
  </r>
  <r>
    <n v="22118"/>
    <x v="1"/>
    <x v="0"/>
    <n v="70000"/>
    <n v="3"/>
    <x v="4"/>
    <x v="4"/>
    <x v="0"/>
    <n v="2"/>
    <s v="5-10 Miles"/>
    <x v="2"/>
    <n v="53"/>
    <x v="2"/>
    <x v="1"/>
  </r>
  <r>
    <n v="23197"/>
    <x v="0"/>
    <x v="1"/>
    <n v="50000"/>
    <n v="3"/>
    <x v="0"/>
    <x v="0"/>
    <x v="0"/>
    <n v="2"/>
    <s v="2-5 Miles"/>
    <x v="2"/>
    <n v="40"/>
    <x v="0"/>
    <x v="0"/>
  </r>
  <r>
    <n v="14883"/>
    <x v="0"/>
    <x v="0"/>
    <n v="30000"/>
    <n v="1"/>
    <x v="0"/>
    <x v="0"/>
    <x v="0"/>
    <n v="1"/>
    <s v="5-10 Miles"/>
    <x v="2"/>
    <n v="53"/>
    <x v="2"/>
    <x v="1"/>
  </r>
  <r>
    <n v="27279"/>
    <x v="1"/>
    <x v="0"/>
    <n v="70000"/>
    <n v="2"/>
    <x v="0"/>
    <x v="0"/>
    <x v="0"/>
    <n v="0"/>
    <s v="2-5 Miles"/>
    <x v="2"/>
    <n v="38"/>
    <x v="0"/>
    <x v="1"/>
  </r>
  <r>
    <n v="18322"/>
    <x v="1"/>
    <x v="1"/>
    <n v="30000"/>
    <n v="0"/>
    <x v="3"/>
    <x v="1"/>
    <x v="1"/>
    <n v="2"/>
    <s v="0-1 Miles"/>
    <x v="2"/>
    <n v="26"/>
    <x v="3"/>
    <x v="0"/>
  </r>
  <r>
    <n v="15879"/>
    <x v="0"/>
    <x v="1"/>
    <n v="70000"/>
    <n v="5"/>
    <x v="0"/>
    <x v="4"/>
    <x v="0"/>
    <n v="2"/>
    <s v="2-5 Miles"/>
    <x v="2"/>
    <n v="61"/>
    <x v="1"/>
    <x v="0"/>
  </r>
  <r>
    <n v="28278"/>
    <x v="0"/>
    <x v="1"/>
    <n v="50000"/>
    <n v="2"/>
    <x v="4"/>
    <x v="4"/>
    <x v="0"/>
    <n v="2"/>
    <s v="5-10 Miles"/>
    <x v="2"/>
    <n v="71"/>
    <x v="4"/>
    <x v="0"/>
  </r>
  <r>
    <n v="24416"/>
    <x v="0"/>
    <x v="1"/>
    <n v="90000"/>
    <n v="4"/>
    <x v="2"/>
    <x v="2"/>
    <x v="0"/>
    <n v="2"/>
    <s v="1-2 Miles"/>
    <x v="2"/>
    <n v="45"/>
    <x v="0"/>
    <x v="0"/>
  </r>
  <r>
    <n v="28066"/>
    <x v="0"/>
    <x v="1"/>
    <n v="80000"/>
    <n v="2"/>
    <x v="4"/>
    <x v="2"/>
    <x v="0"/>
    <n v="0"/>
    <s v="0-1 Miles"/>
    <x v="2"/>
    <n v="37"/>
    <x v="0"/>
    <x v="1"/>
  </r>
  <r>
    <n v="11275"/>
    <x v="0"/>
    <x v="0"/>
    <n v="80000"/>
    <n v="4"/>
    <x v="4"/>
    <x v="4"/>
    <x v="0"/>
    <n v="2"/>
    <s v="0-1 Miles"/>
    <x v="2"/>
    <n v="72"/>
    <x v="4"/>
    <x v="1"/>
  </r>
  <r>
    <n v="14872"/>
    <x v="0"/>
    <x v="1"/>
    <n v="30000"/>
    <n v="0"/>
    <x v="4"/>
    <x v="0"/>
    <x v="0"/>
    <n v="0"/>
    <s v="0-1 Miles"/>
    <x v="2"/>
    <n v="32"/>
    <x v="3"/>
    <x v="0"/>
  </r>
  <r>
    <n v="16151"/>
    <x v="0"/>
    <x v="0"/>
    <n v="60000"/>
    <n v="1"/>
    <x v="0"/>
    <x v="2"/>
    <x v="0"/>
    <n v="1"/>
    <s v="2-5 Miles"/>
    <x v="2"/>
    <n v="48"/>
    <x v="2"/>
    <x v="1"/>
  </r>
  <r>
    <n v="19731"/>
    <x v="0"/>
    <x v="1"/>
    <n v="80000"/>
    <n v="4"/>
    <x v="4"/>
    <x v="4"/>
    <x v="0"/>
    <n v="2"/>
    <s v="5-10 Miles"/>
    <x v="2"/>
    <n v="68"/>
    <x v="4"/>
    <x v="0"/>
  </r>
  <r>
    <n v="23801"/>
    <x v="0"/>
    <x v="0"/>
    <n v="20000"/>
    <n v="2"/>
    <x v="3"/>
    <x v="1"/>
    <x v="0"/>
    <n v="2"/>
    <s v="0-1 Miles"/>
    <x v="2"/>
    <n v="49"/>
    <x v="2"/>
    <x v="0"/>
  </r>
  <r>
    <n v="11807"/>
    <x v="0"/>
    <x v="1"/>
    <n v="70000"/>
    <n v="3"/>
    <x v="4"/>
    <x v="2"/>
    <x v="0"/>
    <n v="0"/>
    <s v="2-5 Miles"/>
    <x v="2"/>
    <n v="34"/>
    <x v="3"/>
    <x v="0"/>
  </r>
  <r>
    <n v="11622"/>
    <x v="0"/>
    <x v="1"/>
    <n v="50000"/>
    <n v="0"/>
    <x v="4"/>
    <x v="0"/>
    <x v="0"/>
    <n v="0"/>
    <s v="0-1 Miles"/>
    <x v="2"/>
    <n v="32"/>
    <x v="3"/>
    <x v="0"/>
  </r>
  <r>
    <n v="26597"/>
    <x v="1"/>
    <x v="0"/>
    <n v="60000"/>
    <n v="4"/>
    <x v="0"/>
    <x v="0"/>
    <x v="1"/>
    <n v="2"/>
    <s v="0-1 Miles"/>
    <x v="2"/>
    <n v="42"/>
    <x v="0"/>
    <x v="0"/>
  </r>
  <r>
    <n v="27074"/>
    <x v="0"/>
    <x v="0"/>
    <n v="70000"/>
    <n v="1"/>
    <x v="4"/>
    <x v="0"/>
    <x v="0"/>
    <n v="0"/>
    <s v="0-1 Miles"/>
    <x v="2"/>
    <n v="35"/>
    <x v="3"/>
    <x v="1"/>
  </r>
  <r>
    <n v="19228"/>
    <x v="0"/>
    <x v="0"/>
    <n v="40000"/>
    <n v="2"/>
    <x v="1"/>
    <x v="1"/>
    <x v="0"/>
    <n v="1"/>
    <s v="0-1 Miles"/>
    <x v="2"/>
    <n v="48"/>
    <x v="2"/>
    <x v="0"/>
  </r>
  <r>
    <n v="13415"/>
    <x v="1"/>
    <x v="1"/>
    <n v="100000"/>
    <n v="1"/>
    <x v="4"/>
    <x v="4"/>
    <x v="0"/>
    <n v="3"/>
    <s v="2-5 Miles"/>
    <x v="2"/>
    <n v="73"/>
    <x v="4"/>
    <x v="1"/>
  </r>
  <r>
    <n v="17000"/>
    <x v="1"/>
    <x v="0"/>
    <n v="70000"/>
    <n v="4"/>
    <x v="0"/>
    <x v="0"/>
    <x v="0"/>
    <n v="2"/>
    <s v="2-5 Miles"/>
    <x v="2"/>
    <n v="43"/>
    <x v="0"/>
    <x v="1"/>
  </r>
  <r>
    <n v="14569"/>
    <x v="0"/>
    <x v="1"/>
    <n v="60000"/>
    <n v="1"/>
    <x v="4"/>
    <x v="2"/>
    <x v="0"/>
    <n v="0"/>
    <s v="0-1 Miles"/>
    <x v="2"/>
    <n v="35"/>
    <x v="3"/>
    <x v="0"/>
  </r>
  <r>
    <n v="13873"/>
    <x v="0"/>
    <x v="1"/>
    <n v="70000"/>
    <n v="3"/>
    <x v="4"/>
    <x v="2"/>
    <x v="0"/>
    <n v="0"/>
    <s v="0-1 Miles"/>
    <x v="2"/>
    <n v="35"/>
    <x v="3"/>
    <x v="1"/>
  </r>
  <r>
    <n v="20401"/>
    <x v="0"/>
    <x v="0"/>
    <n v="50000"/>
    <n v="4"/>
    <x v="0"/>
    <x v="4"/>
    <x v="0"/>
    <n v="2"/>
    <s v="1-2 Miles"/>
    <x v="2"/>
    <n v="64"/>
    <x v="1"/>
    <x v="1"/>
  </r>
  <r>
    <n v="21583"/>
    <x v="0"/>
    <x v="0"/>
    <n v="50000"/>
    <n v="1"/>
    <x v="0"/>
    <x v="0"/>
    <x v="0"/>
    <n v="0"/>
    <s v="0-1 Miles"/>
    <x v="2"/>
    <n v="34"/>
    <x v="3"/>
    <x v="1"/>
  </r>
  <r>
    <n v="12029"/>
    <x v="0"/>
    <x v="1"/>
    <n v="30000"/>
    <n v="0"/>
    <x v="3"/>
    <x v="1"/>
    <x v="1"/>
    <n v="2"/>
    <s v="0-1 Miles"/>
    <x v="2"/>
    <n v="28"/>
    <x v="3"/>
    <x v="0"/>
  </r>
  <r>
    <n v="18066"/>
    <x v="1"/>
    <x v="1"/>
    <n v="70000"/>
    <n v="5"/>
    <x v="0"/>
    <x v="4"/>
    <x v="0"/>
    <n v="3"/>
    <s v="10+ Miles"/>
    <x v="2"/>
    <n v="60"/>
    <x v="1"/>
    <x v="1"/>
  </r>
  <r>
    <n v="28192"/>
    <x v="0"/>
    <x v="0"/>
    <n v="70000"/>
    <n v="5"/>
    <x v="4"/>
    <x v="2"/>
    <x v="0"/>
    <n v="3"/>
    <s v="10+ Miles"/>
    <x v="2"/>
    <n v="46"/>
    <x v="2"/>
    <x v="0"/>
  </r>
  <r>
    <n v="16122"/>
    <x v="0"/>
    <x v="1"/>
    <n v="40000"/>
    <n v="4"/>
    <x v="2"/>
    <x v="0"/>
    <x v="0"/>
    <n v="2"/>
    <s v="0-1 Miles"/>
    <x v="2"/>
    <n v="44"/>
    <x v="0"/>
    <x v="1"/>
  </r>
  <r>
    <n v="18607"/>
    <x v="1"/>
    <x v="0"/>
    <n v="60000"/>
    <n v="4"/>
    <x v="0"/>
    <x v="0"/>
    <x v="0"/>
    <n v="2"/>
    <s v="2-5 Miles"/>
    <x v="2"/>
    <n v="42"/>
    <x v="0"/>
    <x v="1"/>
  </r>
  <r>
    <n v="28858"/>
    <x v="1"/>
    <x v="1"/>
    <n v="80000"/>
    <n v="3"/>
    <x v="0"/>
    <x v="0"/>
    <x v="0"/>
    <n v="0"/>
    <s v="2-5 Miles"/>
    <x v="2"/>
    <n v="40"/>
    <x v="0"/>
    <x v="0"/>
  </r>
  <r>
    <n v="14432"/>
    <x v="1"/>
    <x v="1"/>
    <n v="90000"/>
    <n v="4"/>
    <x v="4"/>
    <x v="4"/>
    <x v="0"/>
    <n v="1"/>
    <s v="5-10 Miles"/>
    <x v="2"/>
    <n v="73"/>
    <x v="4"/>
    <x v="0"/>
  </r>
  <r>
    <n v="26305"/>
    <x v="1"/>
    <x v="0"/>
    <n v="60000"/>
    <n v="2"/>
    <x v="0"/>
    <x v="0"/>
    <x v="1"/>
    <n v="0"/>
    <s v="0-1 Miles"/>
    <x v="2"/>
    <n v="36"/>
    <x v="0"/>
    <x v="1"/>
  </r>
  <r>
    <n v="22050"/>
    <x v="1"/>
    <x v="1"/>
    <n v="90000"/>
    <n v="4"/>
    <x v="0"/>
    <x v="4"/>
    <x v="0"/>
    <n v="1"/>
    <s v="1-2 Miles"/>
    <x v="2"/>
    <n v="38"/>
    <x v="0"/>
    <x v="1"/>
  </r>
  <r>
    <n v="25394"/>
    <x v="0"/>
    <x v="1"/>
    <n v="60000"/>
    <n v="1"/>
    <x v="4"/>
    <x v="2"/>
    <x v="0"/>
    <n v="0"/>
    <s v="2-5 Miles"/>
    <x v="2"/>
    <n v="34"/>
    <x v="3"/>
    <x v="1"/>
  </r>
  <r>
    <n v="19747"/>
    <x v="0"/>
    <x v="1"/>
    <n v="50000"/>
    <n v="4"/>
    <x v="0"/>
    <x v="4"/>
    <x v="0"/>
    <n v="2"/>
    <s v="10+ Miles"/>
    <x v="2"/>
    <n v="63"/>
    <x v="1"/>
    <x v="0"/>
  </r>
  <r>
    <n v="23195"/>
    <x v="1"/>
    <x v="1"/>
    <n v="50000"/>
    <n v="3"/>
    <x v="0"/>
    <x v="0"/>
    <x v="0"/>
    <n v="2"/>
    <s v="2-5 Miles"/>
    <x v="2"/>
    <n v="41"/>
    <x v="0"/>
    <x v="1"/>
  </r>
  <r>
    <n v="21695"/>
    <x v="0"/>
    <x v="1"/>
    <n v="60000"/>
    <n v="0"/>
    <x v="4"/>
    <x v="0"/>
    <x v="0"/>
    <n v="0"/>
    <s v="1-2 Miles"/>
    <x v="2"/>
    <n v="39"/>
    <x v="0"/>
    <x v="1"/>
  </r>
  <r>
    <n v="13934"/>
    <x v="0"/>
    <x v="1"/>
    <n v="40000"/>
    <n v="4"/>
    <x v="2"/>
    <x v="0"/>
    <x v="0"/>
    <n v="2"/>
    <s v="2-5 Miles"/>
    <x v="2"/>
    <n v="46"/>
    <x v="2"/>
    <x v="0"/>
  </r>
  <r>
    <n v="13337"/>
    <x v="0"/>
    <x v="0"/>
    <n v="80000"/>
    <n v="5"/>
    <x v="0"/>
    <x v="4"/>
    <x v="0"/>
    <n v="2"/>
    <s v="5-10 Miles"/>
    <x v="2"/>
    <n v="64"/>
    <x v="1"/>
    <x v="0"/>
  </r>
  <r>
    <n v="27190"/>
    <x v="0"/>
    <x v="0"/>
    <n v="40000"/>
    <n v="3"/>
    <x v="1"/>
    <x v="1"/>
    <x v="0"/>
    <n v="1"/>
    <s v="1-2 Miles"/>
    <x v="2"/>
    <n v="32"/>
    <x v="3"/>
    <x v="0"/>
  </r>
  <r>
    <n v="28657"/>
    <x v="1"/>
    <x v="1"/>
    <n v="60000"/>
    <n v="2"/>
    <x v="0"/>
    <x v="0"/>
    <x v="0"/>
    <n v="0"/>
    <s v="2-5 Miles"/>
    <x v="2"/>
    <n v="36"/>
    <x v="0"/>
    <x v="1"/>
  </r>
  <r>
    <n v="21713"/>
    <x v="1"/>
    <x v="1"/>
    <n v="80000"/>
    <n v="5"/>
    <x v="4"/>
    <x v="0"/>
    <x v="1"/>
    <n v="0"/>
    <s v="0-1 Miles"/>
    <x v="2"/>
    <n v="47"/>
    <x v="2"/>
    <x v="0"/>
  </r>
  <r>
    <n v="21752"/>
    <x v="0"/>
    <x v="1"/>
    <n v="60000"/>
    <n v="3"/>
    <x v="4"/>
    <x v="4"/>
    <x v="0"/>
    <n v="2"/>
    <s v="10+ Miles"/>
    <x v="2"/>
    <n v="64"/>
    <x v="1"/>
    <x v="0"/>
  </r>
  <r>
    <n v="27273"/>
    <x v="1"/>
    <x v="1"/>
    <n v="70000"/>
    <n v="3"/>
    <x v="4"/>
    <x v="2"/>
    <x v="1"/>
    <n v="0"/>
    <s v="0-1 Miles"/>
    <x v="2"/>
    <n v="35"/>
    <x v="3"/>
    <x v="1"/>
  </r>
  <r>
    <n v="22719"/>
    <x v="1"/>
    <x v="1"/>
    <n v="110000"/>
    <n v="3"/>
    <x v="0"/>
    <x v="4"/>
    <x v="0"/>
    <n v="4"/>
    <s v="2-5 Miles"/>
    <x v="2"/>
    <n v="40"/>
    <x v="0"/>
    <x v="1"/>
  </r>
  <r>
    <n v="22042"/>
    <x v="0"/>
    <x v="0"/>
    <n v="70000"/>
    <n v="0"/>
    <x v="1"/>
    <x v="0"/>
    <x v="0"/>
    <n v="2"/>
    <s v="5-10 Miles"/>
    <x v="2"/>
    <n v="34"/>
    <x v="3"/>
    <x v="1"/>
  </r>
  <r>
    <n v="21451"/>
    <x v="0"/>
    <x v="0"/>
    <n v="40000"/>
    <n v="4"/>
    <x v="2"/>
    <x v="2"/>
    <x v="0"/>
    <n v="2"/>
    <s v="10+ Miles"/>
    <x v="2"/>
    <n v="61"/>
    <x v="1"/>
    <x v="0"/>
  </r>
  <r>
    <n v="20754"/>
    <x v="0"/>
    <x v="1"/>
    <n v="30000"/>
    <n v="2"/>
    <x v="2"/>
    <x v="0"/>
    <x v="0"/>
    <n v="2"/>
    <s v="1-2 Miles"/>
    <x v="2"/>
    <n v="51"/>
    <x v="2"/>
    <x v="0"/>
  </r>
  <r>
    <n v="12153"/>
    <x v="1"/>
    <x v="0"/>
    <n v="70000"/>
    <n v="3"/>
    <x v="1"/>
    <x v="2"/>
    <x v="0"/>
    <n v="1"/>
    <s v="5-10 Miles"/>
    <x v="2"/>
    <n v="49"/>
    <x v="2"/>
    <x v="1"/>
  </r>
  <r>
    <n v="16895"/>
    <x v="0"/>
    <x v="0"/>
    <n v="40000"/>
    <n v="3"/>
    <x v="1"/>
    <x v="2"/>
    <x v="1"/>
    <n v="2"/>
    <s v="1-2 Miles"/>
    <x v="2"/>
    <n v="54"/>
    <x v="2"/>
    <x v="1"/>
  </r>
  <r>
    <n v="26728"/>
    <x v="1"/>
    <x v="1"/>
    <n v="70000"/>
    <n v="3"/>
    <x v="4"/>
    <x v="4"/>
    <x v="1"/>
    <n v="2"/>
    <s v="1-2 Miles"/>
    <x v="2"/>
    <n v="53"/>
    <x v="2"/>
    <x v="1"/>
  </r>
  <r>
    <n v="11090"/>
    <x v="1"/>
    <x v="1"/>
    <n v="90000"/>
    <n v="2"/>
    <x v="1"/>
    <x v="2"/>
    <x v="0"/>
    <n v="1"/>
    <s v="2-5 Miles"/>
    <x v="2"/>
    <n v="48"/>
    <x v="2"/>
    <x v="1"/>
  </r>
  <r>
    <n v="15862"/>
    <x v="1"/>
    <x v="0"/>
    <n v="50000"/>
    <n v="0"/>
    <x v="4"/>
    <x v="0"/>
    <x v="0"/>
    <n v="0"/>
    <s v="1-2 Miles"/>
    <x v="2"/>
    <n v="33"/>
    <x v="3"/>
    <x v="1"/>
  </r>
  <r>
    <n v="26495"/>
    <x v="1"/>
    <x v="0"/>
    <n v="40000"/>
    <n v="2"/>
    <x v="2"/>
    <x v="2"/>
    <x v="0"/>
    <n v="2"/>
    <s v="10+ Miles"/>
    <x v="2"/>
    <n v="57"/>
    <x v="1"/>
    <x v="0"/>
  </r>
  <r>
    <n v="11823"/>
    <x v="0"/>
    <x v="0"/>
    <n v="70000"/>
    <n v="0"/>
    <x v="4"/>
    <x v="2"/>
    <x v="0"/>
    <n v="0"/>
    <s v="2-5 Miles"/>
    <x v="2"/>
    <n v="39"/>
    <x v="0"/>
    <x v="0"/>
  </r>
  <r>
    <n v="23449"/>
    <x v="0"/>
    <x v="1"/>
    <n v="60000"/>
    <n v="2"/>
    <x v="2"/>
    <x v="2"/>
    <x v="0"/>
    <n v="2"/>
    <s v="5-10 Miles"/>
    <x v="2"/>
    <n v="48"/>
    <x v="2"/>
    <x v="0"/>
  </r>
  <r>
    <n v="23459"/>
    <x v="0"/>
    <x v="1"/>
    <n v="60000"/>
    <n v="2"/>
    <x v="2"/>
    <x v="2"/>
    <x v="0"/>
    <n v="2"/>
    <s v="5-10 Miles"/>
    <x v="2"/>
    <n v="50"/>
    <x v="2"/>
    <x v="0"/>
  </r>
  <r>
    <n v="19543"/>
    <x v="0"/>
    <x v="1"/>
    <n v="70000"/>
    <n v="5"/>
    <x v="4"/>
    <x v="2"/>
    <x v="1"/>
    <n v="3"/>
    <s v="10+ Miles"/>
    <x v="2"/>
    <n v="47"/>
    <x v="2"/>
    <x v="0"/>
  </r>
  <r>
    <n v="14914"/>
    <x v="0"/>
    <x v="0"/>
    <n v="40000"/>
    <n v="1"/>
    <x v="1"/>
    <x v="1"/>
    <x v="0"/>
    <n v="1"/>
    <s v="1-2 Miles"/>
    <x v="2"/>
    <n v="49"/>
    <x v="2"/>
    <x v="1"/>
  </r>
  <r>
    <n v="12033"/>
    <x v="1"/>
    <x v="0"/>
    <n v="40000"/>
    <n v="0"/>
    <x v="2"/>
    <x v="0"/>
    <x v="1"/>
    <n v="2"/>
    <s v="0-1 Miles"/>
    <x v="2"/>
    <n v="27"/>
    <x v="3"/>
    <x v="1"/>
  </r>
  <r>
    <n v="11941"/>
    <x v="1"/>
    <x v="1"/>
    <n v="60000"/>
    <n v="0"/>
    <x v="1"/>
    <x v="0"/>
    <x v="0"/>
    <n v="0"/>
    <s v="5-10 Miles"/>
    <x v="2"/>
    <n v="29"/>
    <x v="3"/>
    <x v="0"/>
  </r>
  <r>
    <n v="14389"/>
    <x v="0"/>
    <x v="1"/>
    <n v="60000"/>
    <n v="2"/>
    <x v="0"/>
    <x v="4"/>
    <x v="0"/>
    <n v="0"/>
    <s v="2-5 Miles"/>
    <x v="2"/>
    <n v="59"/>
    <x v="1"/>
    <x v="0"/>
  </r>
  <r>
    <n v="18050"/>
    <x v="0"/>
    <x v="0"/>
    <n v="60000"/>
    <n v="1"/>
    <x v="1"/>
    <x v="0"/>
    <x v="0"/>
    <n v="1"/>
    <s v="0-1 Miles"/>
    <x v="2"/>
    <n v="45"/>
    <x v="0"/>
    <x v="1"/>
  </r>
  <r>
    <n v="19856"/>
    <x v="0"/>
    <x v="0"/>
    <n v="60000"/>
    <n v="4"/>
    <x v="0"/>
    <x v="4"/>
    <x v="0"/>
    <n v="2"/>
    <s v="2-5 Miles"/>
    <x v="2"/>
    <n v="60"/>
    <x v="1"/>
    <x v="0"/>
  </r>
  <r>
    <n v="11663"/>
    <x v="0"/>
    <x v="1"/>
    <n v="70000"/>
    <n v="4"/>
    <x v="4"/>
    <x v="2"/>
    <x v="0"/>
    <n v="0"/>
    <s v="0-1 Miles"/>
    <x v="2"/>
    <n v="36"/>
    <x v="0"/>
    <x v="1"/>
  </r>
  <r>
    <n v="27740"/>
    <x v="0"/>
    <x v="0"/>
    <n v="40000"/>
    <n v="0"/>
    <x v="2"/>
    <x v="0"/>
    <x v="0"/>
    <n v="2"/>
    <s v="5-10 Miles"/>
    <x v="2"/>
    <n v="27"/>
    <x v="3"/>
    <x v="0"/>
  </r>
  <r>
    <n v="23455"/>
    <x v="1"/>
    <x v="1"/>
    <n v="80000"/>
    <n v="2"/>
    <x v="3"/>
    <x v="0"/>
    <x v="1"/>
    <n v="2"/>
    <s v="1-2 Miles"/>
    <x v="2"/>
    <n v="50"/>
    <x v="2"/>
    <x v="0"/>
  </r>
  <r>
    <n v="15292"/>
    <x v="1"/>
    <x v="0"/>
    <n v="60000"/>
    <n v="1"/>
    <x v="4"/>
    <x v="0"/>
    <x v="0"/>
    <n v="0"/>
    <s v="1-2 Miles"/>
    <x v="2"/>
    <n v="35"/>
    <x v="3"/>
    <x v="0"/>
  </r>
  <r>
    <n v="21587"/>
    <x v="0"/>
    <x v="0"/>
    <n v="60000"/>
    <n v="1"/>
    <x v="4"/>
    <x v="0"/>
    <x v="0"/>
    <n v="0"/>
    <s v="2-5 Miles"/>
    <x v="2"/>
    <n v="34"/>
    <x v="3"/>
    <x v="1"/>
  </r>
  <r>
    <n v="23513"/>
    <x v="0"/>
    <x v="0"/>
    <n v="40000"/>
    <n v="3"/>
    <x v="1"/>
    <x v="2"/>
    <x v="0"/>
    <n v="2"/>
    <s v="5-10 Miles"/>
    <x v="2"/>
    <n v="54"/>
    <x v="2"/>
    <x v="0"/>
  </r>
  <r>
    <n v="24322"/>
    <x v="0"/>
    <x v="0"/>
    <n v="60000"/>
    <n v="4"/>
    <x v="0"/>
    <x v="0"/>
    <x v="1"/>
    <n v="2"/>
    <s v="0-1 Miles"/>
    <x v="2"/>
    <n v="42"/>
    <x v="0"/>
    <x v="0"/>
  </r>
  <r>
    <n v="26298"/>
    <x v="0"/>
    <x v="0"/>
    <n v="50000"/>
    <n v="1"/>
    <x v="0"/>
    <x v="0"/>
    <x v="0"/>
    <n v="0"/>
    <s v="2-5 Miles"/>
    <x v="2"/>
    <n v="34"/>
    <x v="3"/>
    <x v="1"/>
  </r>
  <r>
    <n v="25419"/>
    <x v="1"/>
    <x v="1"/>
    <n v="50000"/>
    <n v="2"/>
    <x v="0"/>
    <x v="0"/>
    <x v="1"/>
    <n v="1"/>
    <s v="0-1 Miles"/>
    <x v="2"/>
    <n v="38"/>
    <x v="0"/>
    <x v="1"/>
  </r>
  <r>
    <n v="13343"/>
    <x v="0"/>
    <x v="0"/>
    <n v="90000"/>
    <n v="5"/>
    <x v="0"/>
    <x v="4"/>
    <x v="0"/>
    <n v="2"/>
    <s v="1-2 Miles"/>
    <x v="2"/>
    <n v="63"/>
    <x v="1"/>
    <x v="1"/>
  </r>
  <r>
    <n v="11303"/>
    <x v="1"/>
    <x v="0"/>
    <n v="90000"/>
    <n v="4"/>
    <x v="2"/>
    <x v="2"/>
    <x v="1"/>
    <n v="3"/>
    <s v="1-2 Miles"/>
    <x v="2"/>
    <n v="45"/>
    <x v="0"/>
    <x v="1"/>
  </r>
  <r>
    <n v="21693"/>
    <x v="1"/>
    <x v="0"/>
    <n v="60000"/>
    <n v="0"/>
    <x v="4"/>
    <x v="0"/>
    <x v="1"/>
    <n v="0"/>
    <s v="0-1 Miles"/>
    <x v="2"/>
    <n v="40"/>
    <x v="0"/>
    <x v="0"/>
  </r>
  <r>
    <n v="28056"/>
    <x v="0"/>
    <x v="1"/>
    <n v="70000"/>
    <n v="2"/>
    <x v="3"/>
    <x v="0"/>
    <x v="0"/>
    <n v="2"/>
    <s v="10+ Miles"/>
    <x v="2"/>
    <n v="53"/>
    <x v="2"/>
    <x v="0"/>
  </r>
  <r>
    <n v="11788"/>
    <x v="1"/>
    <x v="0"/>
    <n v="70000"/>
    <n v="1"/>
    <x v="4"/>
    <x v="2"/>
    <x v="0"/>
    <n v="0"/>
    <s v="2-5 Miles"/>
    <x v="2"/>
    <n v="34"/>
    <x v="3"/>
    <x v="0"/>
  </r>
  <r>
    <n v="22296"/>
    <x v="0"/>
    <x v="1"/>
    <n v="70000"/>
    <n v="0"/>
    <x v="0"/>
    <x v="2"/>
    <x v="1"/>
    <n v="1"/>
    <s v="0-1 Miles"/>
    <x v="2"/>
    <n v="38"/>
    <x v="0"/>
    <x v="0"/>
  </r>
  <r>
    <n v="15319"/>
    <x v="0"/>
    <x v="0"/>
    <n v="70000"/>
    <n v="4"/>
    <x v="0"/>
    <x v="4"/>
    <x v="1"/>
    <n v="1"/>
    <s v="1-2 Miles"/>
    <x v="2"/>
    <n v="59"/>
    <x v="1"/>
    <x v="0"/>
  </r>
  <r>
    <n v="17654"/>
    <x v="1"/>
    <x v="0"/>
    <n v="40000"/>
    <n v="3"/>
    <x v="1"/>
    <x v="1"/>
    <x v="0"/>
    <n v="1"/>
    <s v="1-2 Miles"/>
    <x v="2"/>
    <n v="30"/>
    <x v="3"/>
    <x v="1"/>
  </r>
  <r>
    <n v="14662"/>
    <x v="0"/>
    <x v="1"/>
    <n v="60000"/>
    <n v="1"/>
    <x v="0"/>
    <x v="2"/>
    <x v="0"/>
    <n v="1"/>
    <s v="0-1 Miles"/>
    <x v="2"/>
    <n v="48"/>
    <x v="2"/>
    <x v="1"/>
  </r>
  <r>
    <n v="17541"/>
    <x v="0"/>
    <x v="0"/>
    <n v="40000"/>
    <n v="4"/>
    <x v="2"/>
    <x v="0"/>
    <x v="0"/>
    <n v="2"/>
    <s v="2-5 Miles"/>
    <x v="2"/>
    <n v="43"/>
    <x v="0"/>
    <x v="0"/>
  </r>
  <r>
    <n v="13886"/>
    <x v="0"/>
    <x v="0"/>
    <n v="70000"/>
    <n v="4"/>
    <x v="4"/>
    <x v="2"/>
    <x v="0"/>
    <n v="0"/>
    <s v="2-5 Miles"/>
    <x v="2"/>
    <n v="35"/>
    <x v="3"/>
    <x v="1"/>
  </r>
  <r>
    <n v="13073"/>
    <x v="0"/>
    <x v="0"/>
    <n v="60000"/>
    <n v="0"/>
    <x v="1"/>
    <x v="2"/>
    <x v="0"/>
    <n v="2"/>
    <s v="5-10 Miles"/>
    <x v="2"/>
    <n v="30"/>
    <x v="3"/>
    <x v="0"/>
  </r>
  <r>
    <n v="21940"/>
    <x v="0"/>
    <x v="1"/>
    <n v="90000"/>
    <n v="5"/>
    <x v="4"/>
    <x v="2"/>
    <x v="0"/>
    <n v="0"/>
    <s v="0-1 Miles"/>
    <x v="2"/>
    <n v="47"/>
    <x v="2"/>
    <x v="1"/>
  </r>
  <r>
    <n v="20196"/>
    <x v="0"/>
    <x v="1"/>
    <n v="60000"/>
    <n v="1"/>
    <x v="1"/>
    <x v="0"/>
    <x v="0"/>
    <n v="1"/>
    <s v="2-5 Miles"/>
    <x v="2"/>
    <n v="45"/>
    <x v="0"/>
    <x v="1"/>
  </r>
  <r>
    <n v="23491"/>
    <x v="1"/>
    <x v="1"/>
    <n v="100000"/>
    <n v="0"/>
    <x v="1"/>
    <x v="2"/>
    <x v="1"/>
    <n v="4"/>
    <s v="1-2 Miles"/>
    <x v="2"/>
    <n v="45"/>
    <x v="0"/>
    <x v="0"/>
  </r>
  <r>
    <n v="16651"/>
    <x v="0"/>
    <x v="0"/>
    <n v="120000"/>
    <n v="2"/>
    <x v="0"/>
    <x v="4"/>
    <x v="0"/>
    <n v="3"/>
    <s v="5-10 Miles"/>
    <x v="2"/>
    <n v="62"/>
    <x v="1"/>
    <x v="0"/>
  </r>
  <r>
    <n v="16813"/>
    <x v="0"/>
    <x v="1"/>
    <n v="60000"/>
    <n v="2"/>
    <x v="1"/>
    <x v="2"/>
    <x v="0"/>
    <n v="2"/>
    <s v="10+ Miles"/>
    <x v="2"/>
    <n v="55"/>
    <x v="2"/>
    <x v="0"/>
  </r>
  <r>
    <n v="16007"/>
    <x v="0"/>
    <x v="0"/>
    <n v="90000"/>
    <n v="5"/>
    <x v="0"/>
    <x v="4"/>
    <x v="0"/>
    <n v="2"/>
    <s v="1-2 Miles"/>
    <x v="2"/>
    <n v="66"/>
    <x v="4"/>
    <x v="1"/>
  </r>
  <r>
    <n v="27434"/>
    <x v="1"/>
    <x v="1"/>
    <n v="70000"/>
    <n v="4"/>
    <x v="1"/>
    <x v="2"/>
    <x v="0"/>
    <n v="1"/>
    <s v="10+ Miles"/>
    <x v="2"/>
    <n v="56"/>
    <x v="1"/>
    <x v="0"/>
  </r>
  <r>
    <n v="27756"/>
    <x v="1"/>
    <x v="0"/>
    <n v="50000"/>
    <n v="3"/>
    <x v="0"/>
    <x v="0"/>
    <x v="1"/>
    <n v="1"/>
    <s v="0-1 Miles"/>
    <x v="2"/>
    <n v="40"/>
    <x v="0"/>
    <x v="0"/>
  </r>
  <r>
    <n v="23818"/>
    <x v="0"/>
    <x v="0"/>
    <n v="50000"/>
    <n v="0"/>
    <x v="4"/>
    <x v="0"/>
    <x v="0"/>
    <n v="0"/>
    <s v="1-2 Miles"/>
    <x v="2"/>
    <n v="33"/>
    <x v="3"/>
    <x v="1"/>
  </r>
  <r>
    <n v="19012"/>
    <x v="0"/>
    <x v="1"/>
    <n v="80000"/>
    <n v="3"/>
    <x v="0"/>
    <x v="4"/>
    <x v="0"/>
    <n v="1"/>
    <s v="1-2 Miles"/>
    <x v="2"/>
    <n v="56"/>
    <x v="1"/>
    <x v="0"/>
  </r>
  <r>
    <n v="18329"/>
    <x v="1"/>
    <x v="1"/>
    <n v="30000"/>
    <n v="0"/>
    <x v="3"/>
    <x v="1"/>
    <x v="1"/>
    <n v="2"/>
    <s v="5-10 Miles"/>
    <x v="2"/>
    <n v="27"/>
    <x v="3"/>
    <x v="0"/>
  </r>
  <r>
    <n v="29037"/>
    <x v="0"/>
    <x v="1"/>
    <n v="60000"/>
    <n v="0"/>
    <x v="4"/>
    <x v="2"/>
    <x v="1"/>
    <n v="0"/>
    <s v="0-1 Miles"/>
    <x v="2"/>
    <n v="39"/>
    <x v="0"/>
    <x v="0"/>
  </r>
  <r>
    <n v="26576"/>
    <x v="0"/>
    <x v="0"/>
    <n v="60000"/>
    <n v="0"/>
    <x v="1"/>
    <x v="0"/>
    <x v="0"/>
    <n v="2"/>
    <s v="5-10 Miles"/>
    <x v="2"/>
    <n v="31"/>
    <x v="3"/>
    <x v="0"/>
  </r>
  <r>
    <n v="12192"/>
    <x v="1"/>
    <x v="0"/>
    <n v="60000"/>
    <n v="2"/>
    <x v="3"/>
    <x v="0"/>
    <x v="1"/>
    <n v="2"/>
    <s v="1-2 Miles"/>
    <x v="2"/>
    <n v="51"/>
    <x v="2"/>
    <x v="0"/>
  </r>
  <r>
    <n v="14887"/>
    <x v="0"/>
    <x v="0"/>
    <n v="30000"/>
    <n v="1"/>
    <x v="2"/>
    <x v="1"/>
    <x v="0"/>
    <n v="1"/>
    <s v="5-10 Miles"/>
    <x v="2"/>
    <n v="52"/>
    <x v="2"/>
    <x v="0"/>
  </r>
  <r>
    <n v="11734"/>
    <x v="0"/>
    <x v="1"/>
    <n v="60000"/>
    <n v="1"/>
    <x v="1"/>
    <x v="0"/>
    <x v="1"/>
    <n v="1"/>
    <s v="0-1 Miles"/>
    <x v="2"/>
    <n v="47"/>
    <x v="2"/>
    <x v="0"/>
  </r>
  <r>
    <n v="17462"/>
    <x v="0"/>
    <x v="1"/>
    <n v="70000"/>
    <n v="3"/>
    <x v="4"/>
    <x v="4"/>
    <x v="0"/>
    <n v="2"/>
    <s v="5-10 Miles"/>
    <x v="2"/>
    <n v="53"/>
    <x v="2"/>
    <x v="1"/>
  </r>
  <r>
    <n v="20659"/>
    <x v="0"/>
    <x v="1"/>
    <n v="70000"/>
    <n v="3"/>
    <x v="4"/>
    <x v="2"/>
    <x v="0"/>
    <n v="0"/>
    <s v="0-1 Miles"/>
    <x v="2"/>
    <n v="35"/>
    <x v="3"/>
    <x v="1"/>
  </r>
  <r>
    <n v="28004"/>
    <x v="0"/>
    <x v="0"/>
    <n v="60000"/>
    <n v="3"/>
    <x v="0"/>
    <x v="4"/>
    <x v="0"/>
    <n v="2"/>
    <s v="10+ Miles"/>
    <x v="2"/>
    <n v="66"/>
    <x v="4"/>
    <x v="0"/>
  </r>
  <r>
    <n v="19741"/>
    <x v="1"/>
    <x v="0"/>
    <n v="80000"/>
    <n v="4"/>
    <x v="4"/>
    <x v="4"/>
    <x v="0"/>
    <n v="2"/>
    <s v="5-10 Miles"/>
    <x v="2"/>
    <n v="65"/>
    <x v="1"/>
    <x v="0"/>
  </r>
  <r>
    <n v="17450"/>
    <x v="0"/>
    <x v="1"/>
    <n v="80000"/>
    <n v="5"/>
    <x v="1"/>
    <x v="2"/>
    <x v="0"/>
    <n v="3"/>
    <s v="5-10 Miles"/>
    <x v="2"/>
    <n v="45"/>
    <x v="0"/>
    <x v="0"/>
  </r>
  <r>
    <n v="17337"/>
    <x v="1"/>
    <x v="1"/>
    <n v="40000"/>
    <n v="0"/>
    <x v="2"/>
    <x v="0"/>
    <x v="0"/>
    <n v="1"/>
    <s v="5-10 Miles"/>
    <x v="2"/>
    <n v="31"/>
    <x v="3"/>
    <x v="0"/>
  </r>
  <r>
    <n v="18594"/>
    <x v="1"/>
    <x v="0"/>
    <n v="80000"/>
    <n v="3"/>
    <x v="0"/>
    <x v="0"/>
    <x v="0"/>
    <n v="3"/>
    <s v="10+ Miles"/>
    <x v="2"/>
    <n v="40"/>
    <x v="0"/>
    <x v="1"/>
  </r>
  <r>
    <n v="15982"/>
    <x v="0"/>
    <x v="1"/>
    <n v="110000"/>
    <n v="5"/>
    <x v="1"/>
    <x v="2"/>
    <x v="0"/>
    <n v="4"/>
    <s v="2-5 Miles"/>
    <x v="2"/>
    <n v="46"/>
    <x v="2"/>
    <x v="0"/>
  </r>
  <r>
    <n v="28625"/>
    <x v="1"/>
    <x v="1"/>
    <n v="40000"/>
    <n v="2"/>
    <x v="1"/>
    <x v="1"/>
    <x v="1"/>
    <n v="1"/>
    <s v="1-2 Miles"/>
    <x v="2"/>
    <n v="47"/>
    <x v="2"/>
    <x v="1"/>
  </r>
  <r>
    <n v="11269"/>
    <x v="0"/>
    <x v="1"/>
    <n v="130000"/>
    <n v="2"/>
    <x v="4"/>
    <x v="4"/>
    <x v="0"/>
    <n v="2"/>
    <s v="0-1 Miles"/>
    <x v="2"/>
    <n v="41"/>
    <x v="0"/>
    <x v="0"/>
  </r>
  <r>
    <n v="25148"/>
    <x v="0"/>
    <x v="1"/>
    <n v="60000"/>
    <n v="2"/>
    <x v="2"/>
    <x v="2"/>
    <x v="1"/>
    <n v="2"/>
    <s v="1-2 Miles"/>
    <x v="2"/>
    <n v="48"/>
    <x v="2"/>
    <x v="1"/>
  </r>
  <r>
    <n v="13920"/>
    <x v="1"/>
    <x v="0"/>
    <n v="50000"/>
    <n v="4"/>
    <x v="0"/>
    <x v="0"/>
    <x v="0"/>
    <n v="2"/>
    <s v="0-1 Miles"/>
    <x v="2"/>
    <n v="42"/>
    <x v="0"/>
    <x v="0"/>
  </r>
  <r>
    <n v="23704"/>
    <x v="1"/>
    <x v="1"/>
    <n v="40000"/>
    <n v="5"/>
    <x v="2"/>
    <x v="2"/>
    <x v="0"/>
    <n v="4"/>
    <s v="10+ Miles"/>
    <x v="2"/>
    <n v="60"/>
    <x v="1"/>
    <x v="1"/>
  </r>
  <r>
    <n v="28972"/>
    <x v="1"/>
    <x v="0"/>
    <n v="60000"/>
    <n v="3"/>
    <x v="4"/>
    <x v="4"/>
    <x v="0"/>
    <n v="2"/>
    <s v="10+ Miles"/>
    <x v="2"/>
    <n v="66"/>
    <x v="4"/>
    <x v="0"/>
  </r>
  <r>
    <n v="22730"/>
    <x v="0"/>
    <x v="1"/>
    <n v="70000"/>
    <n v="5"/>
    <x v="0"/>
    <x v="4"/>
    <x v="0"/>
    <n v="2"/>
    <s v="10+ Miles"/>
    <x v="2"/>
    <n v="63"/>
    <x v="1"/>
    <x v="0"/>
  </r>
  <r>
    <n v="29134"/>
    <x v="0"/>
    <x v="1"/>
    <n v="60000"/>
    <n v="4"/>
    <x v="0"/>
    <x v="0"/>
    <x v="1"/>
    <n v="3"/>
    <s v="10+ Miles"/>
    <x v="2"/>
    <n v="42"/>
    <x v="0"/>
    <x v="0"/>
  </r>
  <r>
    <n v="14332"/>
    <x v="1"/>
    <x v="0"/>
    <n v="30000"/>
    <n v="0"/>
    <x v="2"/>
    <x v="0"/>
    <x v="1"/>
    <n v="2"/>
    <s v="5-10 Miles"/>
    <x v="2"/>
    <n v="26"/>
    <x v="3"/>
    <x v="0"/>
  </r>
  <r>
    <n v="19117"/>
    <x v="1"/>
    <x v="0"/>
    <n v="60000"/>
    <n v="1"/>
    <x v="4"/>
    <x v="2"/>
    <x v="0"/>
    <n v="0"/>
    <s v="2-5 Miles"/>
    <x v="2"/>
    <n v="36"/>
    <x v="0"/>
    <x v="1"/>
  </r>
  <r>
    <n v="22864"/>
    <x v="0"/>
    <x v="1"/>
    <n v="90000"/>
    <n v="2"/>
    <x v="1"/>
    <x v="2"/>
    <x v="1"/>
    <n v="0"/>
    <s v="5-10 Miles"/>
    <x v="2"/>
    <n v="49"/>
    <x v="2"/>
    <x v="1"/>
  </r>
  <r>
    <n v="11292"/>
    <x v="1"/>
    <x v="1"/>
    <n v="150000"/>
    <n v="1"/>
    <x v="1"/>
    <x v="2"/>
    <x v="1"/>
    <n v="3"/>
    <s v="0-1 Miles"/>
    <x v="2"/>
    <n v="44"/>
    <x v="0"/>
    <x v="1"/>
  </r>
  <r>
    <n v="13466"/>
    <x v="0"/>
    <x v="1"/>
    <n v="80000"/>
    <n v="5"/>
    <x v="1"/>
    <x v="2"/>
    <x v="0"/>
    <n v="3"/>
    <s v="1-2 Miles"/>
    <x v="2"/>
    <n v="46"/>
    <x v="2"/>
    <x v="0"/>
  </r>
  <r>
    <n v="23731"/>
    <x v="0"/>
    <x v="1"/>
    <n v="60000"/>
    <n v="2"/>
    <x v="2"/>
    <x v="2"/>
    <x v="0"/>
    <n v="2"/>
    <s v="2-5 Miles"/>
    <x v="2"/>
    <n v="54"/>
    <x v="2"/>
    <x v="1"/>
  </r>
  <r>
    <n v="28672"/>
    <x v="1"/>
    <x v="1"/>
    <n v="70000"/>
    <n v="4"/>
    <x v="4"/>
    <x v="2"/>
    <x v="0"/>
    <n v="0"/>
    <s v="2-5 Miles"/>
    <x v="2"/>
    <n v="35"/>
    <x v="3"/>
    <x v="1"/>
  </r>
  <r>
    <n v="11809"/>
    <x v="0"/>
    <x v="1"/>
    <n v="60000"/>
    <n v="2"/>
    <x v="0"/>
    <x v="0"/>
    <x v="0"/>
    <n v="0"/>
    <s v="0-1 Miles"/>
    <x v="2"/>
    <n v="38"/>
    <x v="0"/>
    <x v="1"/>
  </r>
  <r>
    <n v="19664"/>
    <x v="1"/>
    <x v="1"/>
    <n v="100000"/>
    <n v="3"/>
    <x v="0"/>
    <x v="4"/>
    <x v="1"/>
    <n v="3"/>
    <s v="1-2 Miles"/>
    <x v="2"/>
    <n v="38"/>
    <x v="0"/>
    <x v="0"/>
  </r>
  <r>
    <n v="12121"/>
    <x v="1"/>
    <x v="1"/>
    <n v="60000"/>
    <n v="3"/>
    <x v="2"/>
    <x v="2"/>
    <x v="0"/>
    <n v="2"/>
    <s v="10+ Miles"/>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6FE3F1-C57C-4D46-8BF4-07013A49B8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C18" firstHeaderRow="0"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dataField="1" showAll="0"/>
    <pivotField showAll="0"/>
    <pivotField axis="axisRow" showAll="0">
      <items count="4">
        <item x="0"/>
        <item x="2"/>
        <item x="1"/>
        <item t="default"/>
      </items>
    </pivotField>
    <pivotField showAll="0"/>
    <pivotField showAll="0">
      <items count="6">
        <item x="2"/>
        <item x="1"/>
        <item x="4"/>
        <item x="3"/>
        <item x="0"/>
        <item t="default"/>
      </items>
    </pivotField>
    <pivotField dataField="1" showAll="0">
      <items count="3">
        <item x="0"/>
        <item x="1"/>
        <item t="default"/>
      </items>
    </pivotField>
  </pivotFields>
  <rowFields count="1">
    <field x="10"/>
  </rowFields>
  <rowItems count="4">
    <i>
      <x/>
    </i>
    <i>
      <x v="1"/>
    </i>
    <i>
      <x v="2"/>
    </i>
    <i t="grand">
      <x/>
    </i>
  </rowItems>
  <colFields count="1">
    <field x="-2"/>
  </colFields>
  <colItems count="2">
    <i>
      <x/>
    </i>
    <i i="1">
      <x v="1"/>
    </i>
  </colItems>
  <dataFields count="2">
    <dataField name="Count of Purchased Bike" fld="13" subtotal="count" baseField="0" baseItem="0"/>
    <dataField name="Sum of Cars" fld="8" baseField="0" baseItem="0"/>
  </dataFields>
  <formats count="6">
    <format dxfId="16">
      <pivotArea type="all" dataOnly="0" outline="0" fieldPosition="0"/>
    </format>
    <format dxfId="15">
      <pivotArea outline="0" collapsedLevelsAreSubtotals="1" fieldPosition="0"/>
    </format>
    <format dxfId="14">
      <pivotArea field="10" type="button" dataOnly="0" labelOnly="1" outline="0" axis="axisRow" fieldPosition="0"/>
    </format>
    <format dxfId="13">
      <pivotArea dataOnly="0" labelOnly="1" fieldPosition="0">
        <references count="1">
          <reference field="10" count="0"/>
        </references>
      </pivotArea>
    </format>
    <format dxfId="12">
      <pivotArea dataOnly="0" labelOnly="1" grandRow="1" outline="0" fieldPosition="0"/>
    </format>
    <format dxfId="11">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526FD0-33EF-4600-86E9-12F658B345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1:A42" firstHeaderRow="1" firstDataRow="1" firstDataCol="0"/>
  <pivotFields count="14">
    <pivotField showAll="0"/>
    <pivotField showAll="0">
      <items count="3">
        <item x="0"/>
        <item x="1"/>
        <item t="default"/>
      </items>
    </pivotField>
    <pivotField showAll="0">
      <items count="3">
        <item x="0"/>
        <item x="1"/>
        <item t="default"/>
      </items>
    </pivotField>
    <pivotField numFmtId="164" showAll="0"/>
    <pivotField dataField="1"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6">
        <item x="2"/>
        <item x="1"/>
        <item x="4"/>
        <item x="3"/>
        <item x="0"/>
        <item t="default"/>
      </items>
    </pivotField>
    <pivotField showAll="0">
      <items count="3">
        <item x="0"/>
        <item x="1"/>
        <item t="default"/>
      </items>
    </pivotField>
  </pivotFields>
  <rowItems count="1">
    <i/>
  </rowItems>
  <colItems count="1">
    <i/>
  </colItems>
  <dataFields count="1">
    <dataField name="Average of Children" fld="4" subtotal="average" baseField="0" baseItem="0"/>
  </dataFields>
  <formats count="5">
    <format dxfId="21">
      <pivotArea type="all" dataOnly="0" outline="0" fieldPosition="0"/>
    </format>
    <format dxfId="20">
      <pivotArea outline="0" collapsedLevelsAreSubtotals="1" fieldPosition="0"/>
    </format>
    <format dxfId="19">
      <pivotArea field="10" type="button" dataOnly="0" labelOnly="1" outline="0"/>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69205A-9D4C-428A-A71B-EE861C15F82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28:B34" firstHeaderRow="1" firstDataRow="1" firstDataCol="1"/>
  <pivotFields count="14">
    <pivotField showAll="0"/>
    <pivotField showAll="0">
      <items count="3">
        <item x="0"/>
        <item x="1"/>
        <item t="default"/>
      </items>
    </pivotField>
    <pivotField showAll="0">
      <items count="3">
        <item x="0"/>
        <item x="1"/>
        <item t="default"/>
      </items>
    </pivotField>
    <pivotField dataField="1" numFmtId="164" showAll="0"/>
    <pivotField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6">
        <item x="2"/>
        <item x="1"/>
        <item x="4"/>
        <item x="3"/>
        <item x="0"/>
        <item t="default"/>
      </items>
    </pivotField>
    <pivotField showAll="0">
      <items count="3">
        <item x="0"/>
        <item x="1"/>
        <item t="default"/>
      </items>
    </pivotField>
  </pivotFields>
  <rowFields count="1">
    <field x="5"/>
  </rowFields>
  <rowItems count="6">
    <i>
      <x/>
    </i>
    <i>
      <x v="1"/>
    </i>
    <i>
      <x v="2"/>
    </i>
    <i>
      <x v="3"/>
    </i>
    <i>
      <x v="4"/>
    </i>
    <i t="grand">
      <x/>
    </i>
  </rowItems>
  <colItems count="1">
    <i/>
  </colItems>
  <dataFields count="1">
    <dataField name="Average of Income" fld="3" subtotal="average" baseField="5" baseItem="0" numFmtId="166"/>
  </dataFields>
  <formats count="5">
    <format dxfId="26">
      <pivotArea type="all" dataOnly="0" outline="0" fieldPosition="0"/>
    </format>
    <format dxfId="25">
      <pivotArea field="10" type="button" dataOnly="0" labelOnly="1" outline="0"/>
    </format>
    <format dxfId="24">
      <pivotArea dataOnly="0" labelOnly="1" grandRow="1" outline="0" fieldPosition="0"/>
    </format>
    <format dxfId="23">
      <pivotArea dataOnly="0" labelOnly="1" outline="0" axis="axisValues" fieldPosition="0"/>
    </format>
    <format dxfId="22">
      <pivotArea outline="0" collapsedLevelsAreSubtotals="1" fieldPosition="0"/>
    </format>
  </formats>
  <chartFormats count="12">
    <chartFormat chart="10" format="15"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 chart="6" format="12">
      <pivotArea type="data" outline="0" fieldPosition="0">
        <references count="2">
          <reference field="4294967294" count="1" selected="0">
            <x v="0"/>
          </reference>
          <reference field="5" count="1" selected="0">
            <x v="3"/>
          </reference>
        </references>
      </pivotArea>
    </chartFormat>
    <chartFormat chart="6" format="13">
      <pivotArea type="data" outline="0" fieldPosition="0">
        <references count="2">
          <reference field="4294967294" count="1" selected="0">
            <x v="0"/>
          </reference>
          <reference field="5" count="1" selected="0">
            <x v="4"/>
          </reference>
        </references>
      </pivotArea>
    </chartFormat>
    <chartFormat chart="10" format="16">
      <pivotArea type="data" outline="0" fieldPosition="0">
        <references count="2">
          <reference field="4294967294" count="1" selected="0">
            <x v="0"/>
          </reference>
          <reference field="5" count="1" selected="0">
            <x v="0"/>
          </reference>
        </references>
      </pivotArea>
    </chartFormat>
    <chartFormat chart="10" format="17">
      <pivotArea type="data" outline="0" fieldPosition="0">
        <references count="2">
          <reference field="4294967294" count="1" selected="0">
            <x v="0"/>
          </reference>
          <reference field="5" count="1" selected="0">
            <x v="1"/>
          </reference>
        </references>
      </pivotArea>
    </chartFormat>
    <chartFormat chart="10" format="18">
      <pivotArea type="data" outline="0" fieldPosition="0">
        <references count="2">
          <reference field="4294967294" count="1" selected="0">
            <x v="0"/>
          </reference>
          <reference field="5" count="1" selected="0">
            <x v="2"/>
          </reference>
        </references>
      </pivotArea>
    </chartFormat>
    <chartFormat chart="10" format="19">
      <pivotArea type="data" outline="0" fieldPosition="0">
        <references count="2">
          <reference field="4294967294" count="1" selected="0">
            <x v="0"/>
          </reference>
          <reference field="5" count="1" selected="0">
            <x v="3"/>
          </reference>
        </references>
      </pivotArea>
    </chartFormat>
    <chartFormat chart="10" format="20">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643F83-C7CF-4E8A-9F48-1288D76EEB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B9" firstHeaderRow="1" firstDataRow="1" firstDataCol="1" rowPageCount="1" colPageCount="1"/>
  <pivotFields count="14">
    <pivotField showAll="0"/>
    <pivotField showAll="0"/>
    <pivotField showAll="0"/>
    <pivotField dataField="1" numFmtId="164" showAll="0"/>
    <pivotField showAll="0"/>
    <pivotField axis="axisPage" showAll="0">
      <items count="6">
        <item x="0"/>
        <item x="4"/>
        <item x="2"/>
        <item x="1"/>
        <item x="3"/>
        <item t="default"/>
      </items>
    </pivotField>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items count="6">
        <item x="2"/>
        <item x="1"/>
        <item x="4"/>
        <item x="3"/>
        <item x="0"/>
        <item t="default"/>
      </items>
    </pivotField>
    <pivotField showAll="0"/>
  </pivotFields>
  <rowFields count="1">
    <field x="10"/>
  </rowFields>
  <rowItems count="4">
    <i>
      <x/>
    </i>
    <i>
      <x v="1"/>
    </i>
    <i>
      <x v="2"/>
    </i>
    <i t="grand">
      <x/>
    </i>
  </rowItems>
  <colItems count="1">
    <i/>
  </colItems>
  <pageFields count="1">
    <pageField fld="5" hier="-1"/>
  </pageFields>
  <dataFields count="1">
    <dataField name="Average of Income" fld="3" subtotal="average" baseField="10" baseItem="0" numFmtId="164"/>
  </dataFields>
  <formats count="2">
    <format dxfId="28">
      <pivotArea outline="0" collapsedLevelsAreSubtotals="1" fieldPosition="0"/>
    </format>
    <format dxfId="27">
      <pivotArea collapsedLevelsAreSubtotals="1" fieldPosition="0">
        <references count="1">
          <reference field="10"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0" count="1" selected="0">
            <x v="0"/>
          </reference>
        </references>
      </pivotArea>
    </chartFormat>
    <chartFormat chart="6" format="10">
      <pivotArea type="data" outline="0" fieldPosition="0">
        <references count="2">
          <reference field="4294967294" count="1" selected="0">
            <x v="0"/>
          </reference>
          <reference field="10" count="1" selected="0">
            <x v="1"/>
          </reference>
        </references>
      </pivotArea>
    </chartFormat>
    <chartFormat chart="6"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D5ABB8-3699-4A51-9490-A478FDF545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9:D15" firstHeaderRow="1" firstDataRow="1" firstDataCol="1"/>
  <pivotFields count="14">
    <pivotField showAll="0"/>
    <pivotField showAll="0">
      <items count="3">
        <item x="0"/>
        <item x="1"/>
        <item t="default"/>
      </items>
    </pivotField>
    <pivotField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axis="axisRow" showAll="0">
      <items count="6">
        <item x="2"/>
        <item x="1"/>
        <item x="4"/>
        <item x="3"/>
        <item x="0"/>
        <item t="default"/>
      </items>
    </pivotField>
    <pivotField showAll="0">
      <items count="3">
        <item x="0"/>
        <item x="1"/>
        <item t="default"/>
      </items>
    </pivotField>
  </pivotFields>
  <rowFields count="1">
    <field x="12"/>
  </rowFields>
  <rowItems count="6">
    <i>
      <x/>
    </i>
    <i>
      <x v="1"/>
    </i>
    <i>
      <x v="2"/>
    </i>
    <i>
      <x v="3"/>
    </i>
    <i>
      <x v="4"/>
    </i>
    <i t="grand">
      <x/>
    </i>
  </rowItems>
  <colItems count="1">
    <i/>
  </colItems>
  <dataFields count="1">
    <dataField name="Average of Income" fld="3" subtotal="average" baseField="12" baseItem="0" numFmtId="164"/>
  </dataFields>
  <formats count="5">
    <format dxfId="4">
      <pivotArea type="all" dataOnly="0" outline="0" fieldPosition="0"/>
    </format>
    <format dxfId="3">
      <pivotArea field="10" type="button" dataOnly="0" labelOnly="1" outline="0"/>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2" count="1" selected="0">
            <x v="0"/>
          </reference>
        </references>
      </pivotArea>
    </chartFormat>
    <chartFormat chart="8" format="2">
      <pivotArea type="data" outline="0" fieldPosition="0">
        <references count="2">
          <reference field="4294967294" count="1" selected="0">
            <x v="0"/>
          </reference>
          <reference field="12" count="1" selected="0">
            <x v="1"/>
          </reference>
        </references>
      </pivotArea>
    </chartFormat>
    <chartFormat chart="8" format="3">
      <pivotArea type="data" outline="0" fieldPosition="0">
        <references count="2">
          <reference field="4294967294" count="1" selected="0">
            <x v="0"/>
          </reference>
          <reference field="12" count="1" selected="0">
            <x v="2"/>
          </reference>
        </references>
      </pivotArea>
    </chartFormat>
    <chartFormat chart="8" format="4">
      <pivotArea type="data" outline="0" fieldPosition="0">
        <references count="2">
          <reference field="4294967294" count="1" selected="0">
            <x v="0"/>
          </reference>
          <reference field="12" count="1" selected="0">
            <x v="3"/>
          </reference>
        </references>
      </pivotArea>
    </chartFormat>
    <chartFormat chart="8"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3ED0AA-A0B7-4081-A689-23AD45590F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3:E6" firstHeaderRow="0" firstDataRow="1"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dataField="1"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6">
        <item x="2"/>
        <item x="1"/>
        <item x="4"/>
        <item x="3"/>
        <item x="0"/>
        <item t="default"/>
      </items>
    </pivotField>
    <pivotField showAll="0">
      <items count="3">
        <item x="0"/>
        <item x="1"/>
        <item t="default"/>
      </items>
    </pivotField>
  </pivotFields>
  <rowFields count="1">
    <field x="2"/>
  </rowFields>
  <rowItems count="3">
    <i>
      <x/>
    </i>
    <i>
      <x v="1"/>
    </i>
    <i t="grand">
      <x/>
    </i>
  </rowItems>
  <colFields count="1">
    <field x="-2"/>
  </colFields>
  <colItems count="2">
    <i>
      <x/>
    </i>
    <i i="1">
      <x v="1"/>
    </i>
  </colItems>
  <dataFields count="2">
    <dataField name="Average of Income" fld="3" subtotal="average" baseField="2" baseItem="0" numFmtId="44"/>
    <dataField name="Count of Occupation" fld="6" subtotal="count" baseField="0" baseItem="0"/>
  </dataFields>
  <formats count="6">
    <format dxfId="10">
      <pivotArea type="all" dataOnly="0" outline="0" fieldPosition="0"/>
    </format>
    <format dxfId="9">
      <pivotArea field="10" type="button" dataOnly="0" labelOnly="1" outline="0"/>
    </format>
    <format dxfId="8">
      <pivotArea dataOnly="0" labelOnly="1" grandRow="1" outline="0" fieldPosition="0"/>
    </format>
    <format dxfId="7">
      <pivotArea dataOnly="0" labelOnly="1" outline="0" axis="axisValues" fieldPosition="0"/>
    </format>
    <format dxfId="6">
      <pivotArea outline="0" collapsedLevelsAreSubtotals="1" fieldPosition="0"/>
    </format>
    <format dxfId="5">
      <pivotArea outline="0" collapsedLevelsAreSubtotals="1" fieldPosition="0">
        <references count="1">
          <reference field="4294967294" count="1" selected="0">
            <x v="1"/>
          </reference>
        </references>
      </pivotArea>
    </format>
  </format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2" count="1" selected="0">
            <x v="1"/>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0"/>
          </reference>
        </references>
      </pivotArea>
    </chartFormat>
    <chartFormat chart="6" format="5">
      <pivotArea type="data" outline="0" fieldPosition="0">
        <references count="2">
          <reference field="4294967294" count="1" selected="0">
            <x v="1"/>
          </reference>
          <reference field="2"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2" count="1" selected="0">
            <x v="0"/>
          </reference>
        </references>
      </pivotArea>
    </chartFormat>
    <chartFormat chart="10" format="14">
      <pivotArea type="data" outline="0" fieldPosition="0">
        <references count="2">
          <reference field="4294967294" count="1" selected="0">
            <x v="0"/>
          </reference>
          <reference field="2" count="1" selected="0">
            <x v="1"/>
          </reference>
        </references>
      </pivotArea>
    </chartFormat>
    <chartFormat chart="10" format="15" series="1">
      <pivotArea type="data" outline="0" fieldPosition="0">
        <references count="1">
          <reference field="4294967294" count="1" selected="0">
            <x v="1"/>
          </reference>
        </references>
      </pivotArea>
    </chartFormat>
    <chartFormat chart="10" format="16">
      <pivotArea type="data" outline="0" fieldPosition="0">
        <references count="2">
          <reference field="4294967294" count="1" selected="0">
            <x v="1"/>
          </reference>
          <reference field="2" count="1" selected="0">
            <x v="0"/>
          </reference>
        </references>
      </pivotArea>
    </chartFormat>
    <chartFormat chart="10" format="17">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E40DEC8B-5755-48FF-B377-6B3556BFF23A}" sourceName="Age Brackets">
  <pivotTables>
    <pivotTable tabId="3" name="PivotTable2"/>
    <pivotTable tabId="3" name="PivotTable1"/>
    <pivotTable tabId="3" name="PivotTable3"/>
    <pivotTable tabId="4" name="PivotTable4"/>
    <pivotTable tabId="4" name="PivotTable5"/>
    <pivotTable tabId="3" name="PivotTable4"/>
  </pivotTables>
  <data>
    <tabular pivotCacheId="1445356799">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DA9F6C-CEB5-4FDE-B5EB-45999A290868}" sourceName="Region">
  <pivotTables>
    <pivotTable tabId="4" name="PivotTable5"/>
    <pivotTable tabId="3" name="PivotTable1"/>
    <pivotTable tabId="3" name="PivotTable2"/>
    <pivotTable tabId="3" name="PivotTable3"/>
    <pivotTable tabId="4" name="PivotTable4"/>
    <pivotTable tabId="3" name="PivotTable4"/>
  </pivotTables>
  <data>
    <tabular pivotCacheId="144535679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84819A-929D-43E4-BEB5-CCD9BEF54E54}" sourceName="Education">
  <pivotTables>
    <pivotTable tabId="4" name="PivotTable4"/>
    <pivotTable tabId="3" name="PivotTable1"/>
    <pivotTable tabId="3" name="PivotTable2"/>
    <pivotTable tabId="3" name="PivotTable3"/>
    <pivotTable tabId="4" name="PivotTable5"/>
    <pivotTable tabId="3" name="PivotTable4"/>
  </pivotTables>
  <data>
    <tabular pivotCacheId="1445356799">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A3FEE9B-6228-4DA7-938E-41E5142B8CC0}" sourceName="Occupation">
  <pivotTables>
    <pivotTable tabId="3" name="PivotTable2"/>
    <pivotTable tabId="3" name="PivotTable1"/>
    <pivotTable tabId="3" name="PivotTable3"/>
    <pivotTable tabId="4" name="PivotTable4"/>
    <pivotTable tabId="4" name="PivotTable5"/>
    <pivotTable tabId="3" name="PivotTable4"/>
  </pivotTables>
  <data>
    <tabular pivotCacheId="1445356799">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xr10:uid="{41A7CB80-3914-4C69-ABDA-F91B29BBE485}" cache="Slicer_Age_Brackets" caption="Age Bracket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6C821A-678D-4EEA-8804-9B43AC5D2306}" cache="Slicer_Region" caption="Region" rowHeight="241300"/>
  <slicer name="Education" xr10:uid="{E629C6A0-220A-4F6C-93C0-2290D65090C9}" cache="Slicer_Education" caption="Educat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1" xr10:uid="{FC47E569-05E2-4E87-882A-83BD5704EFEC}" cache="Slicer_Age_Brackets" caption="Age Brackets" rowHeight="241300"/>
  <slicer name="Region 1" xr10:uid="{F1B60B9E-70DA-4D59-9A8F-472EFBB7F069}" cache="Slicer_Region" caption="Region" rowHeight="241300"/>
  <slicer name="Education 1" xr10:uid="{A5AE0E99-25F7-4E3E-B639-5C24F91E1C9C}" cache="Slicer_Education" caption="Education" rowHeight="241300"/>
  <slicer name="Occupation" xr10:uid="{3C7E0D67-3FDC-43DE-BA54-17EE89ABFCDC}" cache="Slicer_Occupation" caption="Occup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199F1C-977F-4465-B489-278968F411FD}" name="Table1" displayName="Table1" ref="A1:N1001" totalsRowShown="0">
  <autoFilter ref="A1:N1001" xr:uid="{D1E935E4-9430-45AC-92CF-7F01599D7165}"/>
  <tableColumns count="14">
    <tableColumn id="1" xr3:uid="{A70B5CD3-D838-44A5-898B-B6CEB1E7C856}" name="ID"/>
    <tableColumn id="2" xr3:uid="{DD0D65FF-18FB-422C-9E1F-F01A51BFA0E3}" name="Marital Status"/>
    <tableColumn id="3" xr3:uid="{5B3CD83D-58A4-4B9A-80CC-6D0FC9A3C240}" name="Gender"/>
    <tableColumn id="4" xr3:uid="{C4358DE7-B910-4A7F-AF71-C98B992169ED}" name="Income" dataDxfId="29"/>
    <tableColumn id="5" xr3:uid="{78A45EEB-9827-49BC-88EE-8F06107D733A}" name="Children"/>
    <tableColumn id="6" xr3:uid="{8790CA11-DCAE-4244-AA30-F5D78F966D18}" name="Education"/>
    <tableColumn id="7" xr3:uid="{E0057869-5170-4B5B-94AD-120F0F56F304}" name="Occupation"/>
    <tableColumn id="8" xr3:uid="{DE15D8A0-65E9-48F7-8DEF-955AF6050D0C}" name="Home Owner"/>
    <tableColumn id="9" xr3:uid="{4F8ACE5B-7497-4296-B15F-F7DD611096F0}" name="Cars"/>
    <tableColumn id="10" xr3:uid="{A85DBAAC-647D-4F95-A2EE-FAE0C4A2F42F}" name="Commute Distance"/>
    <tableColumn id="11" xr3:uid="{D899559A-3D84-48C8-8A5A-9779498FF206}" name="Region"/>
    <tableColumn id="12" xr3:uid="{4B74A114-7F3C-41F4-AC42-99765AF3F0F2}" name="Age"/>
    <tableColumn id="13" xr3:uid="{6EDC680B-F490-4E2A-90CA-D33175686718}" name="Age Brackets">
      <calculatedColumnFormula>IF(AND(L2&gt;=25,L2&lt;=35),"Very Young",IF(AND(L2&gt;35,L2&lt;=45),"Young",IF(AND(L2&gt;45,L2&lt;=55),"Mid Life",IF(AND(L2&gt;55,L2&lt;=65),"Old","Older"))))</calculatedColumnFormula>
    </tableColumn>
    <tableColumn id="14" xr3:uid="{3CCE5BB7-C16D-4936-8F1B-63795BE48D37}"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935E4-9430-45AC-92CF-7F01599D7165}">
  <dimension ref="A1:N1001"/>
  <sheetViews>
    <sheetView workbookViewId="0">
      <selection activeCell="B6" sqref="B6"/>
    </sheetView>
  </sheetViews>
  <sheetFormatPr defaultRowHeight="15" x14ac:dyDescent="0.25"/>
  <cols>
    <col min="1" max="1" width="10.7109375" customWidth="1"/>
    <col min="2" max="2" width="15.42578125" customWidth="1"/>
    <col min="3" max="3" width="10.7109375" customWidth="1"/>
    <col min="4" max="4" width="12.7109375" customWidth="1"/>
    <col min="5" max="5" width="10.7109375" customWidth="1"/>
    <col min="6" max="6" width="17.7109375" bestFit="1" customWidth="1"/>
    <col min="7" max="7" width="14.140625" bestFit="1" customWidth="1"/>
    <col min="8" max="8" width="14.85546875" customWidth="1"/>
    <col min="9" max="9" width="10.7109375" customWidth="1"/>
    <col min="10" max="10" width="19.85546875" customWidth="1"/>
    <col min="11" max="12" width="10.7109375" customWidth="1"/>
    <col min="13" max="13" width="14.5703125" bestFit="1" customWidth="1"/>
    <col min="14" max="14" width="16.85546875" bestFit="1"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IF(AND(L2&gt;=25,L2&lt;=35),"Very Young",IF(AND(L2&gt;35,L2&lt;=45),"Young",IF(AND(L2&gt;45,L2&lt;=55),"Mid Life",IF(AND(L2&gt;55,L2&lt;=65),"Old","Older"))))</f>
        <v>Young</v>
      </c>
      <c r="N2" t="s">
        <v>18</v>
      </c>
    </row>
    <row r="3" spans="1:14" x14ac:dyDescent="0.25">
      <c r="A3">
        <v>24107</v>
      </c>
      <c r="B3" t="s">
        <v>36</v>
      </c>
      <c r="C3" t="s">
        <v>38</v>
      </c>
      <c r="D3" s="1">
        <v>30000</v>
      </c>
      <c r="E3">
        <v>3</v>
      </c>
      <c r="F3" t="s">
        <v>19</v>
      </c>
      <c r="G3" t="s">
        <v>20</v>
      </c>
      <c r="H3" t="s">
        <v>15</v>
      </c>
      <c r="I3">
        <v>1</v>
      </c>
      <c r="J3" t="s">
        <v>16</v>
      </c>
      <c r="K3" t="s">
        <v>17</v>
      </c>
      <c r="L3">
        <v>43</v>
      </c>
      <c r="M3" t="str">
        <f t="shared" ref="M3:M66" si="0">IF(AND(L3&gt;=25,L3&lt;=35),"Very Young",IF(AND(L3&gt;35,L3&lt;=45),"Young",IF(AND(L3&gt;45,L3&lt;=55),"Mid Life",IF(AND(L3&gt;55,L3&lt;=65),"Old","Older"))))</f>
        <v>Young</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Young</v>
      </c>
      <c r="N5" t="s">
        <v>15</v>
      </c>
    </row>
    <row r="6" spans="1:14" x14ac:dyDescent="0.25">
      <c r="A6">
        <v>25597</v>
      </c>
      <c r="B6" t="s">
        <v>37</v>
      </c>
      <c r="C6" t="s">
        <v>38</v>
      </c>
      <c r="D6" s="1">
        <v>30000</v>
      </c>
      <c r="E6">
        <v>0</v>
      </c>
      <c r="F6" t="s">
        <v>13</v>
      </c>
      <c r="G6" t="s">
        <v>20</v>
      </c>
      <c r="H6" t="s">
        <v>18</v>
      </c>
      <c r="I6">
        <v>0</v>
      </c>
      <c r="J6" t="s">
        <v>16</v>
      </c>
      <c r="K6" t="s">
        <v>17</v>
      </c>
      <c r="L6">
        <v>36</v>
      </c>
      <c r="M6" t="str">
        <f t="shared" si="0"/>
        <v>Young</v>
      </c>
      <c r="N6" t="s">
        <v>15</v>
      </c>
    </row>
    <row r="7" spans="1:14" x14ac:dyDescent="0.25">
      <c r="A7">
        <v>13507</v>
      </c>
      <c r="B7" t="s">
        <v>36</v>
      </c>
      <c r="C7" t="s">
        <v>39</v>
      </c>
      <c r="D7" s="1">
        <v>10000</v>
      </c>
      <c r="E7">
        <v>2</v>
      </c>
      <c r="F7" t="s">
        <v>19</v>
      </c>
      <c r="G7" t="s">
        <v>25</v>
      </c>
      <c r="H7" t="s">
        <v>15</v>
      </c>
      <c r="I7">
        <v>0</v>
      </c>
      <c r="J7" t="s">
        <v>26</v>
      </c>
      <c r="K7" t="s">
        <v>17</v>
      </c>
      <c r="L7">
        <v>50</v>
      </c>
      <c r="M7" t="str">
        <f t="shared" si="0"/>
        <v>Mid Life</v>
      </c>
      <c r="N7" t="s">
        <v>18</v>
      </c>
    </row>
    <row r="8" spans="1:14" x14ac:dyDescent="0.25">
      <c r="A8">
        <v>27974</v>
      </c>
      <c r="B8" t="s">
        <v>37</v>
      </c>
      <c r="C8" t="s">
        <v>38</v>
      </c>
      <c r="D8" s="1">
        <v>160000</v>
      </c>
      <c r="E8">
        <v>2</v>
      </c>
      <c r="F8" t="s">
        <v>27</v>
      </c>
      <c r="G8" t="s">
        <v>28</v>
      </c>
      <c r="H8" t="s">
        <v>15</v>
      </c>
      <c r="I8">
        <v>4</v>
      </c>
      <c r="J8" t="s">
        <v>16</v>
      </c>
      <c r="K8" t="s">
        <v>24</v>
      </c>
      <c r="L8">
        <v>33</v>
      </c>
      <c r="M8" t="str">
        <f t="shared" si="0"/>
        <v>Very Young</v>
      </c>
      <c r="N8" t="s">
        <v>15</v>
      </c>
    </row>
    <row r="9" spans="1:14" x14ac:dyDescent="0.25">
      <c r="A9">
        <v>19364</v>
      </c>
      <c r="B9" t="s">
        <v>36</v>
      </c>
      <c r="C9" t="s">
        <v>38</v>
      </c>
      <c r="D9" s="1">
        <v>40000</v>
      </c>
      <c r="E9">
        <v>1</v>
      </c>
      <c r="F9" t="s">
        <v>13</v>
      </c>
      <c r="G9" t="s">
        <v>14</v>
      </c>
      <c r="H9" t="s">
        <v>15</v>
      </c>
      <c r="I9">
        <v>0</v>
      </c>
      <c r="J9" t="s">
        <v>16</v>
      </c>
      <c r="K9" t="s">
        <v>17</v>
      </c>
      <c r="L9">
        <v>43</v>
      </c>
      <c r="M9" t="str">
        <f t="shared" si="0"/>
        <v>Young</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Young</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 Life</v>
      </c>
      <c r="N12" t="s">
        <v>15</v>
      </c>
    </row>
    <row r="13" spans="1:14" x14ac:dyDescent="0.25">
      <c r="A13">
        <v>12697</v>
      </c>
      <c r="B13" t="s">
        <v>37</v>
      </c>
      <c r="C13" t="s">
        <v>39</v>
      </c>
      <c r="D13" s="1">
        <v>90000</v>
      </c>
      <c r="E13">
        <v>0</v>
      </c>
      <c r="F13" t="s">
        <v>13</v>
      </c>
      <c r="G13" t="s">
        <v>21</v>
      </c>
      <c r="H13" t="s">
        <v>18</v>
      </c>
      <c r="I13">
        <v>4</v>
      </c>
      <c r="J13" t="s">
        <v>30</v>
      </c>
      <c r="K13" t="s">
        <v>24</v>
      </c>
      <c r="L13">
        <v>36</v>
      </c>
      <c r="M13" t="str">
        <f t="shared" si="0"/>
        <v>Young</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Mid Life</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Very Young</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Young</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Young</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 Life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Very Young</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Mid Life</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Young</v>
      </c>
      <c r="N22" t="s">
        <v>15</v>
      </c>
    </row>
    <row r="23" spans="1:14" x14ac:dyDescent="0.25">
      <c r="A23">
        <v>21564</v>
      </c>
      <c r="B23" t="s">
        <v>37</v>
      </c>
      <c r="C23" t="s">
        <v>39</v>
      </c>
      <c r="D23" s="1">
        <v>80000</v>
      </c>
      <c r="E23">
        <v>0</v>
      </c>
      <c r="F23" t="s">
        <v>13</v>
      </c>
      <c r="G23" t="s">
        <v>21</v>
      </c>
      <c r="H23" t="s">
        <v>15</v>
      </c>
      <c r="I23">
        <v>4</v>
      </c>
      <c r="J23" t="s">
        <v>30</v>
      </c>
      <c r="K23" t="s">
        <v>24</v>
      </c>
      <c r="L23">
        <v>35</v>
      </c>
      <c r="M23" t="str">
        <f t="shared" si="0"/>
        <v>Very Young</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Very Young</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Very Young</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Very Young</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Young</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Young</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Very Young</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Very Young</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Very Young</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 Life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Young</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 Life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Very Young</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Very Young</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Young</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Young</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Young</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 Life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Young</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Older</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 Life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 Life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Young</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Young</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Very Young</v>
      </c>
      <c r="N52" t="s">
        <v>18</v>
      </c>
    </row>
    <row r="53" spans="1:14" x14ac:dyDescent="0.25">
      <c r="A53">
        <v>20619</v>
      </c>
      <c r="B53" t="s">
        <v>37</v>
      </c>
      <c r="C53" t="s">
        <v>38</v>
      </c>
      <c r="D53" s="1">
        <v>80000</v>
      </c>
      <c r="E53">
        <v>0</v>
      </c>
      <c r="F53" t="s">
        <v>13</v>
      </c>
      <c r="G53" t="s">
        <v>21</v>
      </c>
      <c r="H53" t="s">
        <v>18</v>
      </c>
      <c r="I53">
        <v>4</v>
      </c>
      <c r="J53" t="s">
        <v>30</v>
      </c>
      <c r="K53" t="s">
        <v>24</v>
      </c>
      <c r="L53">
        <v>35</v>
      </c>
      <c r="M53" t="str">
        <f t="shared" si="0"/>
        <v>Very Young</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Young</v>
      </c>
      <c r="N56" t="s">
        <v>18</v>
      </c>
    </row>
    <row r="57" spans="1:14" x14ac:dyDescent="0.25">
      <c r="A57">
        <v>28906</v>
      </c>
      <c r="B57" t="s">
        <v>36</v>
      </c>
      <c r="C57" t="s">
        <v>38</v>
      </c>
      <c r="D57" s="1">
        <v>80000</v>
      </c>
      <c r="E57">
        <v>4</v>
      </c>
      <c r="F57" t="s">
        <v>27</v>
      </c>
      <c r="G57" t="s">
        <v>21</v>
      </c>
      <c r="H57" t="s">
        <v>15</v>
      </c>
      <c r="I57">
        <v>2</v>
      </c>
      <c r="J57" t="s">
        <v>30</v>
      </c>
      <c r="K57" t="s">
        <v>17</v>
      </c>
      <c r="L57">
        <v>54</v>
      </c>
      <c r="M57" t="str">
        <f t="shared" si="0"/>
        <v>Mid Life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Young</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Young</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Young</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Young</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Very Young</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 Life</v>
      </c>
      <c r="N64" t="s">
        <v>15</v>
      </c>
    </row>
    <row r="65" spans="1:14" x14ac:dyDescent="0.25">
      <c r="A65">
        <v>16185</v>
      </c>
      <c r="B65" t="s">
        <v>37</v>
      </c>
      <c r="C65" t="s">
        <v>38</v>
      </c>
      <c r="D65" s="1">
        <v>60000</v>
      </c>
      <c r="E65">
        <v>4</v>
      </c>
      <c r="F65" t="s">
        <v>13</v>
      </c>
      <c r="G65" t="s">
        <v>21</v>
      </c>
      <c r="H65" t="s">
        <v>15</v>
      </c>
      <c r="I65">
        <v>3</v>
      </c>
      <c r="J65" t="s">
        <v>30</v>
      </c>
      <c r="K65" t="s">
        <v>24</v>
      </c>
      <c r="L65">
        <v>41</v>
      </c>
      <c r="M65" t="str">
        <f t="shared" si="0"/>
        <v>Young</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Young</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IF(AND(L67&gt;=25,L67&lt;=35),"Very Young",IF(AND(L67&gt;35,L67&lt;=45),"Young",IF(AND(L67&gt;45,L67&lt;=55),"Mid Life",IF(AND(L67&gt;55,L67&lt;=65),"Old","Older"))))</f>
        <v>Older</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Young</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Very Young</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Young</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Very Young</v>
      </c>
      <c r="N71" t="s">
        <v>18</v>
      </c>
    </row>
    <row r="72" spans="1:14" x14ac:dyDescent="0.25">
      <c r="A72">
        <v>14238</v>
      </c>
      <c r="B72" t="s">
        <v>36</v>
      </c>
      <c r="C72" t="s">
        <v>38</v>
      </c>
      <c r="D72" s="1">
        <v>120000</v>
      </c>
      <c r="E72">
        <v>0</v>
      </c>
      <c r="F72" t="s">
        <v>29</v>
      </c>
      <c r="G72" t="s">
        <v>21</v>
      </c>
      <c r="H72" t="s">
        <v>15</v>
      </c>
      <c r="I72">
        <v>4</v>
      </c>
      <c r="J72" t="s">
        <v>30</v>
      </c>
      <c r="K72" t="s">
        <v>24</v>
      </c>
      <c r="L72">
        <v>36</v>
      </c>
      <c r="M72" t="str">
        <f t="shared" si="1"/>
        <v>Young</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Very Young</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 Life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Young</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Very Young</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Very Young</v>
      </c>
      <c r="N78" t="s">
        <v>18</v>
      </c>
    </row>
    <row r="79" spans="1:14" x14ac:dyDescent="0.25">
      <c r="A79">
        <v>27969</v>
      </c>
      <c r="B79" t="s">
        <v>36</v>
      </c>
      <c r="C79" t="s">
        <v>38</v>
      </c>
      <c r="D79" s="1">
        <v>80000</v>
      </c>
      <c r="E79">
        <v>0</v>
      </c>
      <c r="F79" t="s">
        <v>13</v>
      </c>
      <c r="G79" t="s">
        <v>21</v>
      </c>
      <c r="H79" t="s">
        <v>15</v>
      </c>
      <c r="I79">
        <v>2</v>
      </c>
      <c r="J79" t="s">
        <v>30</v>
      </c>
      <c r="K79" t="s">
        <v>24</v>
      </c>
      <c r="L79">
        <v>29</v>
      </c>
      <c r="M79" t="str">
        <f t="shared" si="1"/>
        <v>Very Young</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 Life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Young</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Young</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 Life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Very Young</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 Life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Very Young</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 Life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Young</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Very Young</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Young</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Very Young</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Very Young</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Young</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Very Young</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Mid Life</v>
      </c>
      <c r="N96" t="s">
        <v>18</v>
      </c>
    </row>
    <row r="97" spans="1:14" x14ac:dyDescent="0.25">
      <c r="A97">
        <v>17197</v>
      </c>
      <c r="B97" t="s">
        <v>37</v>
      </c>
      <c r="C97" t="s">
        <v>39</v>
      </c>
      <c r="D97" s="1">
        <v>90000</v>
      </c>
      <c r="E97">
        <v>5</v>
      </c>
      <c r="F97" t="s">
        <v>19</v>
      </c>
      <c r="G97" t="s">
        <v>21</v>
      </c>
      <c r="H97" t="s">
        <v>15</v>
      </c>
      <c r="I97">
        <v>2</v>
      </c>
      <c r="J97" t="s">
        <v>30</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Young</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Young</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Very Young</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Young</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Very Young</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Young</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 Life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Young</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 Life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Very Young</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 Life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 Life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Young</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Young</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 Life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Young</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Very Young</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Young</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Very Young</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Very Young</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Young</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Young</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Very Young</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Older</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 Life</v>
      </c>
      <c r="N123" t="s">
        <v>18</v>
      </c>
    </row>
    <row r="124" spans="1:14" x14ac:dyDescent="0.25">
      <c r="A124">
        <v>12344</v>
      </c>
      <c r="B124" t="s">
        <v>37</v>
      </c>
      <c r="C124" t="s">
        <v>39</v>
      </c>
      <c r="D124" s="1">
        <v>80000</v>
      </c>
      <c r="E124">
        <v>0</v>
      </c>
      <c r="F124" t="s">
        <v>13</v>
      </c>
      <c r="G124" t="s">
        <v>21</v>
      </c>
      <c r="H124" t="s">
        <v>18</v>
      </c>
      <c r="I124">
        <v>3</v>
      </c>
      <c r="J124" t="s">
        <v>30</v>
      </c>
      <c r="K124" t="s">
        <v>24</v>
      </c>
      <c r="L124">
        <v>31</v>
      </c>
      <c r="M124" t="str">
        <f t="shared" si="1"/>
        <v>Very Young</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Young</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Young</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Very Young</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Young</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 Life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IF(AND(L131&gt;=25,L131&lt;=35),"Very Young",IF(AND(L131&gt;35,L131&lt;=45),"Young",IF(AND(L131&gt;45,L131&lt;=55),"Mid Life",IF(AND(L131&gt;55,L131&lt;=65),"Old","Older"))))</f>
        <v>Young</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Young</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Young</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Young</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 Life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Very Young</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Young</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Mid Life</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Young</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Very Young</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Young</v>
      </c>
      <c r="N144" t="s">
        <v>15</v>
      </c>
    </row>
    <row r="145" spans="1:14" x14ac:dyDescent="0.25">
      <c r="A145">
        <v>16614</v>
      </c>
      <c r="B145" t="s">
        <v>36</v>
      </c>
      <c r="C145" t="s">
        <v>39</v>
      </c>
      <c r="D145" s="1">
        <v>80000</v>
      </c>
      <c r="E145">
        <v>0</v>
      </c>
      <c r="F145" t="s">
        <v>13</v>
      </c>
      <c r="G145" t="s">
        <v>21</v>
      </c>
      <c r="H145" t="s">
        <v>15</v>
      </c>
      <c r="I145">
        <v>3</v>
      </c>
      <c r="J145" t="s">
        <v>30</v>
      </c>
      <c r="K145" t="s">
        <v>24</v>
      </c>
      <c r="L145">
        <v>32</v>
      </c>
      <c r="M145" t="str">
        <f t="shared" si="2"/>
        <v>Very Young</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Young</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Very Young</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Young</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Young</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Very Young</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Young</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 Life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Very Young</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 Life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Young</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Young</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 Life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 Life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 Life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Young</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Young</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Young</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 Life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Very Young</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Very Young</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 Life</v>
      </c>
      <c r="N168" t="s">
        <v>15</v>
      </c>
    </row>
    <row r="169" spans="1:14" x14ac:dyDescent="0.25">
      <c r="A169">
        <v>14233</v>
      </c>
      <c r="B169" t="s">
        <v>37</v>
      </c>
      <c r="C169" t="s">
        <v>38</v>
      </c>
      <c r="D169" s="1">
        <v>100000</v>
      </c>
      <c r="E169">
        <v>0</v>
      </c>
      <c r="F169" t="s">
        <v>27</v>
      </c>
      <c r="G169" t="s">
        <v>28</v>
      </c>
      <c r="H169" t="s">
        <v>15</v>
      </c>
      <c r="I169">
        <v>3</v>
      </c>
      <c r="J169" t="s">
        <v>30</v>
      </c>
      <c r="K169" t="s">
        <v>24</v>
      </c>
      <c r="L169">
        <v>35</v>
      </c>
      <c r="M169" t="str">
        <f t="shared" si="2"/>
        <v>Very Young</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Young</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 Life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Very Young</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Very Young</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Young</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 Life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Very Young</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 Life</v>
      </c>
      <c r="N179" t="s">
        <v>18</v>
      </c>
    </row>
    <row r="180" spans="1:14" x14ac:dyDescent="0.25">
      <c r="A180">
        <v>14191</v>
      </c>
      <c r="B180" t="s">
        <v>36</v>
      </c>
      <c r="C180" t="s">
        <v>38</v>
      </c>
      <c r="D180" s="1">
        <v>160000</v>
      </c>
      <c r="E180">
        <v>4</v>
      </c>
      <c r="F180" t="s">
        <v>19</v>
      </c>
      <c r="G180" t="s">
        <v>21</v>
      </c>
      <c r="H180" t="s">
        <v>18</v>
      </c>
      <c r="I180">
        <v>2</v>
      </c>
      <c r="J180" t="s">
        <v>30</v>
      </c>
      <c r="K180" t="s">
        <v>17</v>
      </c>
      <c r="L180">
        <v>55</v>
      </c>
      <c r="M180" t="str">
        <f t="shared" si="2"/>
        <v>Mid Life</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Young</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Young</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Mid Life</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Young</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Older</v>
      </c>
      <c r="N185" t="s">
        <v>15</v>
      </c>
    </row>
    <row r="186" spans="1:14" x14ac:dyDescent="0.25">
      <c r="A186">
        <v>28918</v>
      </c>
      <c r="B186" t="s">
        <v>36</v>
      </c>
      <c r="C186" t="s">
        <v>39</v>
      </c>
      <c r="D186" s="1">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 Life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30</v>
      </c>
      <c r="K190" t="s">
        <v>24</v>
      </c>
      <c r="L190">
        <v>32</v>
      </c>
      <c r="M190" t="str">
        <f t="shared" si="2"/>
        <v>Very Young</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Young</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Mid Life</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Young</v>
      </c>
      <c r="N193" t="s">
        <v>15</v>
      </c>
    </row>
    <row r="194" spans="1:14" x14ac:dyDescent="0.25">
      <c r="A194">
        <v>15682</v>
      </c>
      <c r="B194" t="s">
        <v>37</v>
      </c>
      <c r="C194" t="s">
        <v>39</v>
      </c>
      <c r="D194" s="1">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30</v>
      </c>
      <c r="K195" t="s">
        <v>24</v>
      </c>
      <c r="L195">
        <v>41</v>
      </c>
      <c r="M195" t="str">
        <f t="shared" ref="M195:M258" si="3">IF(AND(L195&gt;=25,L195&lt;=35),"Very Young",IF(AND(L195&gt;35,L195&lt;=45),"Young",IF(AND(L195&gt;45,L195&lt;=55),"Mid Life",IF(AND(L195&gt;55,L195&lt;=65),"Old","Older"))))</f>
        <v>Young</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Very Young</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Very Young</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Young</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Older</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Young</v>
      </c>
      <c r="N200" t="s">
        <v>15</v>
      </c>
    </row>
    <row r="201" spans="1:14" x14ac:dyDescent="0.25">
      <c r="A201">
        <v>11453</v>
      </c>
      <c r="B201" t="s">
        <v>37</v>
      </c>
      <c r="C201" t="s">
        <v>38</v>
      </c>
      <c r="D201" s="1">
        <v>80000</v>
      </c>
      <c r="E201">
        <v>0</v>
      </c>
      <c r="F201" t="s">
        <v>13</v>
      </c>
      <c r="G201" t="s">
        <v>21</v>
      </c>
      <c r="H201" t="s">
        <v>18</v>
      </c>
      <c r="I201">
        <v>3</v>
      </c>
      <c r="J201" t="s">
        <v>30</v>
      </c>
      <c r="K201" t="s">
        <v>24</v>
      </c>
      <c r="L201">
        <v>33</v>
      </c>
      <c r="M201" t="str">
        <f t="shared" si="3"/>
        <v>Very Young</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Very Young</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Very Young</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Very Young</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 Life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 Life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 Life</v>
      </c>
      <c r="N207" t="s">
        <v>15</v>
      </c>
    </row>
    <row r="208" spans="1:14" x14ac:dyDescent="0.25">
      <c r="A208">
        <v>11415</v>
      </c>
      <c r="B208" t="s">
        <v>37</v>
      </c>
      <c r="C208" t="s">
        <v>38</v>
      </c>
      <c r="D208" s="1">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Very Young</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Young</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Young</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Young</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Young</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Very Young</v>
      </c>
      <c r="N214" t="s">
        <v>18</v>
      </c>
    </row>
    <row r="215" spans="1:14" x14ac:dyDescent="0.25">
      <c r="A215">
        <v>11451</v>
      </c>
      <c r="B215" t="s">
        <v>37</v>
      </c>
      <c r="C215" t="s">
        <v>38</v>
      </c>
      <c r="D215" s="1">
        <v>70000</v>
      </c>
      <c r="E215">
        <v>0</v>
      </c>
      <c r="F215" t="s">
        <v>13</v>
      </c>
      <c r="G215" t="s">
        <v>21</v>
      </c>
      <c r="H215" t="s">
        <v>18</v>
      </c>
      <c r="I215">
        <v>4</v>
      </c>
      <c r="J215" t="s">
        <v>30</v>
      </c>
      <c r="K215" t="s">
        <v>24</v>
      </c>
      <c r="L215">
        <v>31</v>
      </c>
      <c r="M215" t="str">
        <f t="shared" si="3"/>
        <v>Very Young</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 Life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 Life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Very Young</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 Life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Very Young</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Young</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Very Young</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Young</v>
      </c>
      <c r="N224" t="s">
        <v>18</v>
      </c>
    </row>
    <row r="225" spans="1:14" x14ac:dyDescent="0.25">
      <c r="A225">
        <v>18711</v>
      </c>
      <c r="B225" t="s">
        <v>37</v>
      </c>
      <c r="C225" t="s">
        <v>39</v>
      </c>
      <c r="D225" s="1">
        <v>70000</v>
      </c>
      <c r="E225">
        <v>5</v>
      </c>
      <c r="F225" t="s">
        <v>13</v>
      </c>
      <c r="G225" t="s">
        <v>21</v>
      </c>
      <c r="H225" t="s">
        <v>15</v>
      </c>
      <c r="I225">
        <v>4</v>
      </c>
      <c r="J225" t="s">
        <v>30</v>
      </c>
      <c r="K225" t="s">
        <v>24</v>
      </c>
      <c r="L225">
        <v>39</v>
      </c>
      <c r="M225" t="str">
        <f t="shared" si="3"/>
        <v>Young</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Older</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Very Young</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Young</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Young</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Young</v>
      </c>
      <c r="N230" t="s">
        <v>18</v>
      </c>
    </row>
    <row r="231" spans="1:14" x14ac:dyDescent="0.25">
      <c r="A231">
        <v>28915</v>
      </c>
      <c r="B231" t="s">
        <v>37</v>
      </c>
      <c r="C231" t="s">
        <v>38</v>
      </c>
      <c r="D231" s="1">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Young</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Young</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Very Young</v>
      </c>
      <c r="N235" t="s">
        <v>15</v>
      </c>
    </row>
    <row r="236" spans="1:14" x14ac:dyDescent="0.25">
      <c r="A236">
        <v>24611</v>
      </c>
      <c r="B236" t="s">
        <v>37</v>
      </c>
      <c r="C236" t="s">
        <v>38</v>
      </c>
      <c r="D236" s="1">
        <v>90000</v>
      </c>
      <c r="E236">
        <v>0</v>
      </c>
      <c r="F236" t="s">
        <v>13</v>
      </c>
      <c r="G236" t="s">
        <v>21</v>
      </c>
      <c r="H236" t="s">
        <v>18</v>
      </c>
      <c r="I236">
        <v>4</v>
      </c>
      <c r="J236" t="s">
        <v>30</v>
      </c>
      <c r="K236" t="s">
        <v>24</v>
      </c>
      <c r="L236">
        <v>35</v>
      </c>
      <c r="M236" t="str">
        <f t="shared" si="3"/>
        <v>Very Young</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Older</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Young</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Very Young</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 Life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Very Young</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Young</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Very Young</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Young</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Very Young</v>
      </c>
      <c r="N245" t="s">
        <v>18</v>
      </c>
    </row>
    <row r="246" spans="1:14" x14ac:dyDescent="0.25">
      <c r="A246">
        <v>19057</v>
      </c>
      <c r="B246" t="s">
        <v>36</v>
      </c>
      <c r="C246" t="s">
        <v>39</v>
      </c>
      <c r="D246" s="1">
        <v>120000</v>
      </c>
      <c r="E246">
        <v>3</v>
      </c>
      <c r="F246" t="s">
        <v>13</v>
      </c>
      <c r="G246" t="s">
        <v>28</v>
      </c>
      <c r="H246" t="s">
        <v>18</v>
      </c>
      <c r="I246">
        <v>2</v>
      </c>
      <c r="J246" t="s">
        <v>30</v>
      </c>
      <c r="K246" t="s">
        <v>17</v>
      </c>
      <c r="L246">
        <v>52</v>
      </c>
      <c r="M246" t="str">
        <f t="shared" si="3"/>
        <v>Mid Life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 Life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 Life</v>
      </c>
      <c r="N248" t="s">
        <v>15</v>
      </c>
    </row>
    <row r="249" spans="1:14" x14ac:dyDescent="0.25">
      <c r="A249">
        <v>21568</v>
      </c>
      <c r="B249" t="s">
        <v>36</v>
      </c>
      <c r="C249" t="s">
        <v>39</v>
      </c>
      <c r="D249" s="1">
        <v>100000</v>
      </c>
      <c r="E249">
        <v>0</v>
      </c>
      <c r="F249" t="s">
        <v>27</v>
      </c>
      <c r="G249" t="s">
        <v>28</v>
      </c>
      <c r="H249" t="s">
        <v>15</v>
      </c>
      <c r="I249">
        <v>4</v>
      </c>
      <c r="J249" t="s">
        <v>30</v>
      </c>
      <c r="K249" t="s">
        <v>24</v>
      </c>
      <c r="L249">
        <v>34</v>
      </c>
      <c r="M249" t="str">
        <f t="shared" si="3"/>
        <v>Very Young</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Young</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Older</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Mid Life</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Very Young</v>
      </c>
      <c r="N254" t="s">
        <v>18</v>
      </c>
    </row>
    <row r="255" spans="1:14" x14ac:dyDescent="0.25">
      <c r="A255">
        <v>20598</v>
      </c>
      <c r="B255" t="s">
        <v>36</v>
      </c>
      <c r="C255" t="s">
        <v>38</v>
      </c>
      <c r="D255" s="1">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 Life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Young</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IF(AND(L259&gt;=25,L259&lt;=35),"Very Young",IF(AND(L259&gt;35,L259&lt;=45),"Young",IF(AND(L259&gt;45,L259&lt;=55),"Mid Life",IF(AND(L259&gt;55,L259&lt;=65),"Old","Older"))))</f>
        <v>Young</v>
      </c>
      <c r="N259" t="s">
        <v>15</v>
      </c>
    </row>
    <row r="260" spans="1:14" x14ac:dyDescent="0.25">
      <c r="A260">
        <v>14193</v>
      </c>
      <c r="B260" t="s">
        <v>37</v>
      </c>
      <c r="C260" t="s">
        <v>39</v>
      </c>
      <c r="D260" s="1">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Young</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Young</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Very Young</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 Life</v>
      </c>
      <c r="N264" t="s">
        <v>18</v>
      </c>
    </row>
    <row r="265" spans="1:14" x14ac:dyDescent="0.25">
      <c r="A265">
        <v>23419</v>
      </c>
      <c r="B265" t="s">
        <v>37</v>
      </c>
      <c r="C265" t="s">
        <v>39</v>
      </c>
      <c r="D265" s="1">
        <v>70000</v>
      </c>
      <c r="E265">
        <v>5</v>
      </c>
      <c r="F265" t="s">
        <v>13</v>
      </c>
      <c r="G265" t="s">
        <v>21</v>
      </c>
      <c r="H265" t="s">
        <v>15</v>
      </c>
      <c r="I265">
        <v>3</v>
      </c>
      <c r="J265" t="s">
        <v>30</v>
      </c>
      <c r="K265" t="s">
        <v>24</v>
      </c>
      <c r="L265">
        <v>39</v>
      </c>
      <c r="M265" t="str">
        <f t="shared" si="4"/>
        <v>Young</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Young</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Young</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Very Young</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 Life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Young</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Young</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 Life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Very Young</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Young</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Very Young</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Young</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Young</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 Life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Young</v>
      </c>
      <c r="N279" t="s">
        <v>15</v>
      </c>
    </row>
    <row r="280" spans="1:14" x14ac:dyDescent="0.25">
      <c r="A280">
        <v>20625</v>
      </c>
      <c r="B280" t="s">
        <v>36</v>
      </c>
      <c r="C280" t="s">
        <v>38</v>
      </c>
      <c r="D280" s="1">
        <v>100000</v>
      </c>
      <c r="E280">
        <v>0</v>
      </c>
      <c r="F280" t="s">
        <v>27</v>
      </c>
      <c r="G280" t="s">
        <v>28</v>
      </c>
      <c r="H280" t="s">
        <v>15</v>
      </c>
      <c r="I280">
        <v>3</v>
      </c>
      <c r="J280" t="s">
        <v>30</v>
      </c>
      <c r="K280" t="s">
        <v>24</v>
      </c>
      <c r="L280">
        <v>35</v>
      </c>
      <c r="M280" t="str">
        <f t="shared" si="4"/>
        <v>Very Young</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Young</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Young</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Young</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Very Young</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 Life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 Life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Young</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 Life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 Life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 Life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 Life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 Life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Young</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Young</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 Life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Young</v>
      </c>
      <c r="N296" t="s">
        <v>15</v>
      </c>
    </row>
    <row r="297" spans="1:14" x14ac:dyDescent="0.25">
      <c r="A297">
        <v>21557</v>
      </c>
      <c r="B297" t="s">
        <v>37</v>
      </c>
      <c r="C297" t="s">
        <v>39</v>
      </c>
      <c r="D297" s="1">
        <v>110000</v>
      </c>
      <c r="E297">
        <v>0</v>
      </c>
      <c r="F297" t="s">
        <v>19</v>
      </c>
      <c r="G297" t="s">
        <v>28</v>
      </c>
      <c r="H297" t="s">
        <v>15</v>
      </c>
      <c r="I297">
        <v>3</v>
      </c>
      <c r="J297" t="s">
        <v>30</v>
      </c>
      <c r="K297" t="s">
        <v>24</v>
      </c>
      <c r="L297">
        <v>32</v>
      </c>
      <c r="M297" t="str">
        <f t="shared" si="4"/>
        <v>Very Young</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Young</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Young</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 Life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Older</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Very Young</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Young</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Young</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Young</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Older</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Very Young</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 Life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 Life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 Life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 Life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 Life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Young</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Very Young</v>
      </c>
      <c r="N319" t="s">
        <v>15</v>
      </c>
    </row>
    <row r="320" spans="1:14" x14ac:dyDescent="0.25">
      <c r="A320">
        <v>19066</v>
      </c>
      <c r="B320" t="s">
        <v>36</v>
      </c>
      <c r="C320" t="s">
        <v>38</v>
      </c>
      <c r="D320" s="1">
        <v>130000</v>
      </c>
      <c r="E320">
        <v>4</v>
      </c>
      <c r="F320" t="s">
        <v>19</v>
      </c>
      <c r="G320" t="s">
        <v>21</v>
      </c>
      <c r="H320" t="s">
        <v>18</v>
      </c>
      <c r="I320">
        <v>3</v>
      </c>
      <c r="J320" t="s">
        <v>30</v>
      </c>
      <c r="K320" t="s">
        <v>17</v>
      </c>
      <c r="L320">
        <v>54</v>
      </c>
      <c r="M320" t="str">
        <f t="shared" si="4"/>
        <v>Mid Life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Young</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Young</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IF(AND(L323&gt;=25,L323&lt;=35),"Very Young",IF(AND(L323&gt;35,L323&lt;=45),"Young",IF(AND(L323&gt;45,L323&lt;=55),"Mid Life",IF(AND(L323&gt;55,L323&lt;=65),"Old","Older"))))</f>
        <v>Mid Life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Young</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Young</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Young</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Young</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Very Young</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Young</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Young</v>
      </c>
      <c r="N330" t="s">
        <v>18</v>
      </c>
    </row>
    <row r="331" spans="1:14" x14ac:dyDescent="0.25">
      <c r="A331">
        <v>12663</v>
      </c>
      <c r="B331" t="s">
        <v>36</v>
      </c>
      <c r="C331" t="s">
        <v>39</v>
      </c>
      <c r="D331" s="1">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30</v>
      </c>
      <c r="K332" t="s">
        <v>24</v>
      </c>
      <c r="L332">
        <v>32</v>
      </c>
      <c r="M332" t="str">
        <f t="shared" si="5"/>
        <v>Very Young</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Very Young</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Very Young</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 Life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 Life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Young</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Very Young</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Very Young</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 Life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Older</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Very Young</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Very Young</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Very Young</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Very Young</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Very Young</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 Life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Young</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Young</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Young</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Very Young</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Very Young</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Young</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 Life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Young</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Young</v>
      </c>
      <c r="N356" t="s">
        <v>18</v>
      </c>
    </row>
    <row r="357" spans="1:14" x14ac:dyDescent="0.25">
      <c r="A357">
        <v>17238</v>
      </c>
      <c r="B357" t="s">
        <v>37</v>
      </c>
      <c r="C357" t="s">
        <v>38</v>
      </c>
      <c r="D357" s="1">
        <v>80000</v>
      </c>
      <c r="E357">
        <v>0</v>
      </c>
      <c r="F357" t="s">
        <v>13</v>
      </c>
      <c r="G357" t="s">
        <v>21</v>
      </c>
      <c r="H357" t="s">
        <v>15</v>
      </c>
      <c r="I357">
        <v>3</v>
      </c>
      <c r="J357" t="s">
        <v>30</v>
      </c>
      <c r="K357" t="s">
        <v>24</v>
      </c>
      <c r="L357">
        <v>32</v>
      </c>
      <c r="M357" t="str">
        <f t="shared" si="5"/>
        <v>Very Young</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 Life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Very Young</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30</v>
      </c>
      <c r="K361" t="s">
        <v>24</v>
      </c>
      <c r="L361">
        <v>30</v>
      </c>
      <c r="M361" t="str">
        <f t="shared" si="5"/>
        <v>Very Young</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 Life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Very Young</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Very Young</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Older</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Young</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Young</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Young</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 Life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 Life</v>
      </c>
      <c r="N371" t="s">
        <v>15</v>
      </c>
    </row>
    <row r="372" spans="1:14" x14ac:dyDescent="0.25">
      <c r="A372">
        <v>17324</v>
      </c>
      <c r="B372" t="s">
        <v>36</v>
      </c>
      <c r="C372" t="s">
        <v>39</v>
      </c>
      <c r="D372" s="1">
        <v>100000</v>
      </c>
      <c r="E372">
        <v>4</v>
      </c>
      <c r="F372" t="s">
        <v>13</v>
      </c>
      <c r="G372" t="s">
        <v>21</v>
      </c>
      <c r="H372" t="s">
        <v>15</v>
      </c>
      <c r="I372">
        <v>1</v>
      </c>
      <c r="J372" t="s">
        <v>30</v>
      </c>
      <c r="K372" t="s">
        <v>24</v>
      </c>
      <c r="L372">
        <v>46</v>
      </c>
      <c r="M372" t="str">
        <f t="shared" si="5"/>
        <v>Mid Life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 Life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Young</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Very Young</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Young</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Older</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 Life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Young</v>
      </c>
      <c r="N381" t="s">
        <v>18</v>
      </c>
    </row>
    <row r="382" spans="1:14" x14ac:dyDescent="0.25">
      <c r="A382">
        <v>13620</v>
      </c>
      <c r="B382" t="s">
        <v>37</v>
      </c>
      <c r="C382" t="s">
        <v>38</v>
      </c>
      <c r="D382" s="1">
        <v>70000</v>
      </c>
      <c r="E382">
        <v>0</v>
      </c>
      <c r="F382" t="s">
        <v>13</v>
      </c>
      <c r="G382" t="s">
        <v>21</v>
      </c>
      <c r="H382" t="s">
        <v>18</v>
      </c>
      <c r="I382">
        <v>3</v>
      </c>
      <c r="J382" t="s">
        <v>30</v>
      </c>
      <c r="K382" t="s">
        <v>24</v>
      </c>
      <c r="L382">
        <v>30</v>
      </c>
      <c r="M382" t="str">
        <f t="shared" si="5"/>
        <v>Very Young</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Older</v>
      </c>
      <c r="N383" t="s">
        <v>18</v>
      </c>
    </row>
    <row r="384" spans="1:14" x14ac:dyDescent="0.25">
      <c r="A384">
        <v>13586</v>
      </c>
      <c r="B384" t="s">
        <v>36</v>
      </c>
      <c r="C384" t="s">
        <v>38</v>
      </c>
      <c r="D384" s="1">
        <v>80000</v>
      </c>
      <c r="E384">
        <v>4</v>
      </c>
      <c r="F384" t="s">
        <v>19</v>
      </c>
      <c r="G384" t="s">
        <v>21</v>
      </c>
      <c r="H384" t="s">
        <v>15</v>
      </c>
      <c r="I384">
        <v>2</v>
      </c>
      <c r="J384" t="s">
        <v>30</v>
      </c>
      <c r="K384" t="s">
        <v>17</v>
      </c>
      <c r="L384">
        <v>53</v>
      </c>
      <c r="M384" t="str">
        <f t="shared" si="5"/>
        <v>Mid Life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Young</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Very Young</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IF(AND(L387&gt;=25,L387&lt;=35),"Very Young",IF(AND(L387&gt;35,L387&lt;=45),"Young",IF(AND(L387&gt;45,L387&lt;=55),"Mid Life",IF(AND(L387&gt;55,L387&lt;=65),"Old","Older"))))</f>
        <v>Young</v>
      </c>
      <c r="N387" t="s">
        <v>18</v>
      </c>
    </row>
    <row r="388" spans="1:14" x14ac:dyDescent="0.25">
      <c r="A388">
        <v>28957</v>
      </c>
      <c r="B388" t="s">
        <v>37</v>
      </c>
      <c r="C388" t="s">
        <v>39</v>
      </c>
      <c r="D388" s="1">
        <v>120000</v>
      </c>
      <c r="E388">
        <v>0</v>
      </c>
      <c r="F388" t="s">
        <v>29</v>
      </c>
      <c r="G388" t="s">
        <v>21</v>
      </c>
      <c r="H388" t="s">
        <v>15</v>
      </c>
      <c r="I388">
        <v>4</v>
      </c>
      <c r="J388" t="s">
        <v>30</v>
      </c>
      <c r="K388" t="s">
        <v>24</v>
      </c>
      <c r="L388">
        <v>34</v>
      </c>
      <c r="M388" t="str">
        <f t="shared" si="6"/>
        <v>Very Young</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Very Young</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Young</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Young</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Young</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 Life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Very Young</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Young</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Young</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Young</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Young</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 Life</v>
      </c>
      <c r="N401" t="s">
        <v>15</v>
      </c>
    </row>
    <row r="402" spans="1:14" x14ac:dyDescent="0.25">
      <c r="A402">
        <v>25792</v>
      </c>
      <c r="B402" t="s">
        <v>37</v>
      </c>
      <c r="C402" t="s">
        <v>39</v>
      </c>
      <c r="D402" s="1">
        <v>110000</v>
      </c>
      <c r="E402">
        <v>3</v>
      </c>
      <c r="F402" t="s">
        <v>13</v>
      </c>
      <c r="G402" t="s">
        <v>28</v>
      </c>
      <c r="H402" t="s">
        <v>15</v>
      </c>
      <c r="I402">
        <v>4</v>
      </c>
      <c r="J402" t="s">
        <v>30</v>
      </c>
      <c r="K402" t="s">
        <v>17</v>
      </c>
      <c r="L402">
        <v>53</v>
      </c>
      <c r="M402" t="str">
        <f t="shared" si="6"/>
        <v>Mid Life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Older</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Young</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Young</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 Life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Young</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Young</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Young</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Very Young</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 Life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 Life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Young</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Very Young</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Older</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Very Young</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Young</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Young</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Older</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Young</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 Life</v>
      </c>
      <c r="N421" t="s">
        <v>15</v>
      </c>
    </row>
    <row r="422" spans="1:14" x14ac:dyDescent="0.25">
      <c r="A422">
        <v>18153</v>
      </c>
      <c r="B422" t="s">
        <v>36</v>
      </c>
      <c r="C422" t="s">
        <v>39</v>
      </c>
      <c r="D422" s="1">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 Life</v>
      </c>
      <c r="N423" t="s">
        <v>18</v>
      </c>
    </row>
    <row r="424" spans="1:14" x14ac:dyDescent="0.25">
      <c r="A424">
        <v>24901</v>
      </c>
      <c r="B424" t="s">
        <v>37</v>
      </c>
      <c r="C424" t="s">
        <v>38</v>
      </c>
      <c r="D424" s="1">
        <v>110000</v>
      </c>
      <c r="E424">
        <v>0</v>
      </c>
      <c r="F424" t="s">
        <v>19</v>
      </c>
      <c r="G424" t="s">
        <v>28</v>
      </c>
      <c r="H424" t="s">
        <v>18</v>
      </c>
      <c r="I424">
        <v>3</v>
      </c>
      <c r="J424" t="s">
        <v>30</v>
      </c>
      <c r="K424" t="s">
        <v>24</v>
      </c>
      <c r="L424">
        <v>32</v>
      </c>
      <c r="M424" t="str">
        <f t="shared" si="6"/>
        <v>Very Young</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Very Young</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Young</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Older</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Very Young</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Young</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 Life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Very Young</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Mid Life</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Very Young</v>
      </c>
      <c r="N433" t="s">
        <v>15</v>
      </c>
    </row>
    <row r="434" spans="1:14" x14ac:dyDescent="0.25">
      <c r="A434">
        <v>21891</v>
      </c>
      <c r="B434" t="s">
        <v>36</v>
      </c>
      <c r="C434" t="s">
        <v>39</v>
      </c>
      <c r="D434" s="1">
        <v>110000</v>
      </c>
      <c r="E434">
        <v>0</v>
      </c>
      <c r="F434" t="s">
        <v>27</v>
      </c>
      <c r="G434" t="s">
        <v>28</v>
      </c>
      <c r="H434" t="s">
        <v>15</v>
      </c>
      <c r="I434">
        <v>3</v>
      </c>
      <c r="J434" t="s">
        <v>30</v>
      </c>
      <c r="K434" t="s">
        <v>24</v>
      </c>
      <c r="L434">
        <v>34</v>
      </c>
      <c r="M434" t="str">
        <f t="shared" si="6"/>
        <v>Very Young</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Very Young</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 Life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Older</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 Life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Very Young</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Young</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Young</v>
      </c>
      <c r="N441" t="s">
        <v>18</v>
      </c>
    </row>
    <row r="442" spans="1:14" x14ac:dyDescent="0.25">
      <c r="A442">
        <v>21561</v>
      </c>
      <c r="B442" t="s">
        <v>37</v>
      </c>
      <c r="C442" t="s">
        <v>38</v>
      </c>
      <c r="D442" s="1">
        <v>90000</v>
      </c>
      <c r="E442">
        <v>0</v>
      </c>
      <c r="F442" t="s">
        <v>13</v>
      </c>
      <c r="G442" t="s">
        <v>21</v>
      </c>
      <c r="H442" t="s">
        <v>18</v>
      </c>
      <c r="I442">
        <v>3</v>
      </c>
      <c r="J442" t="s">
        <v>30</v>
      </c>
      <c r="K442" t="s">
        <v>24</v>
      </c>
      <c r="L442">
        <v>34</v>
      </c>
      <c r="M442" t="str">
        <f t="shared" si="6"/>
        <v>Very Young</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 Life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Young</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Young</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Very Young</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Very Young</v>
      </c>
      <c r="N447" t="s">
        <v>15</v>
      </c>
    </row>
    <row r="448" spans="1:14" x14ac:dyDescent="0.25">
      <c r="A448">
        <v>14278</v>
      </c>
      <c r="B448" t="s">
        <v>36</v>
      </c>
      <c r="C448" t="s">
        <v>39</v>
      </c>
      <c r="D448" s="1">
        <v>130000</v>
      </c>
      <c r="E448">
        <v>0</v>
      </c>
      <c r="F448" t="s">
        <v>31</v>
      </c>
      <c r="G448" t="s">
        <v>28</v>
      </c>
      <c r="H448" t="s">
        <v>15</v>
      </c>
      <c r="I448">
        <v>1</v>
      </c>
      <c r="J448" t="s">
        <v>30</v>
      </c>
      <c r="K448" t="s">
        <v>24</v>
      </c>
      <c r="L448">
        <v>48</v>
      </c>
      <c r="M448" t="str">
        <f t="shared" si="6"/>
        <v>Mid Life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Very Young</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 Life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IF(AND(L451&gt;=25,L451&lt;=35),"Very Young",IF(AND(L451&gt;35,L451&lt;=45),"Young",IF(AND(L451&gt;45,L451&lt;=55),"Mid Life",IF(AND(L451&gt;55,L451&lt;=65),"Old","Older"))))</f>
        <v>Young</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Young</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Young</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Older</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Young</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Very Young</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 Life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 Life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30</v>
      </c>
      <c r="K460" t="s">
        <v>24</v>
      </c>
      <c r="L460">
        <v>32</v>
      </c>
      <c r="M460" t="str">
        <f t="shared" si="7"/>
        <v>Very Young</v>
      </c>
      <c r="N460" t="s">
        <v>15</v>
      </c>
    </row>
    <row r="461" spans="1:14" x14ac:dyDescent="0.25">
      <c r="A461">
        <v>21554</v>
      </c>
      <c r="B461" t="s">
        <v>37</v>
      </c>
      <c r="C461" t="s">
        <v>39</v>
      </c>
      <c r="D461" s="1">
        <v>80000</v>
      </c>
      <c r="E461">
        <v>0</v>
      </c>
      <c r="F461" t="s">
        <v>13</v>
      </c>
      <c r="G461" t="s">
        <v>21</v>
      </c>
      <c r="H461" t="s">
        <v>18</v>
      </c>
      <c r="I461">
        <v>3</v>
      </c>
      <c r="J461" t="s">
        <v>30</v>
      </c>
      <c r="K461" t="s">
        <v>24</v>
      </c>
      <c r="L461">
        <v>33</v>
      </c>
      <c r="M461" t="str">
        <f t="shared" si="7"/>
        <v>Very Young</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Very Young</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 Life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Young</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Young</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 Life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 Life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 Life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Young</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Very Young</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Young</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Young</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 Life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Young</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Young</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 Life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Very Young</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Very Young</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 Life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Very Young</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Young</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Older</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Very Young</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Young</v>
      </c>
      <c r="N487" t="s">
        <v>18</v>
      </c>
    </row>
    <row r="488" spans="1:14" x14ac:dyDescent="0.25">
      <c r="A488">
        <v>26415</v>
      </c>
      <c r="B488" t="s">
        <v>36</v>
      </c>
      <c r="C488" t="s">
        <v>39</v>
      </c>
      <c r="D488" s="1">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Young</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Very Young</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Very Young</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 Life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 Life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Very Young</v>
      </c>
      <c r="N494" t="s">
        <v>15</v>
      </c>
    </row>
    <row r="495" spans="1:14" x14ac:dyDescent="0.25">
      <c r="A495">
        <v>23707</v>
      </c>
      <c r="B495" t="s">
        <v>37</v>
      </c>
      <c r="C495" t="s">
        <v>38</v>
      </c>
      <c r="D495" s="1">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 Life</v>
      </c>
      <c r="N496" t="s">
        <v>18</v>
      </c>
    </row>
    <row r="497" spans="1:14" x14ac:dyDescent="0.25">
      <c r="A497">
        <v>24981</v>
      </c>
      <c r="B497" t="s">
        <v>36</v>
      </c>
      <c r="C497" t="s">
        <v>38</v>
      </c>
      <c r="D497" s="1">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Young</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Very Young</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 Life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Very Young</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 Life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Very Young</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Very Young</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Young</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Young</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Young</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Young</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 Life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Very Young</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 Life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Young</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Older</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Young</v>
      </c>
      <c r="N514" t="s">
        <v>15</v>
      </c>
    </row>
    <row r="515" spans="1:14" x14ac:dyDescent="0.25">
      <c r="A515">
        <v>13353</v>
      </c>
      <c r="B515" t="s">
        <v>37</v>
      </c>
      <c r="C515" t="s">
        <v>39</v>
      </c>
      <c r="D515" s="1">
        <v>60000</v>
      </c>
      <c r="E515">
        <v>4</v>
      </c>
      <c r="F515" t="s">
        <v>31</v>
      </c>
      <c r="G515" t="s">
        <v>28</v>
      </c>
      <c r="H515" t="s">
        <v>15</v>
      </c>
      <c r="I515">
        <v>2</v>
      </c>
      <c r="J515" t="s">
        <v>30</v>
      </c>
      <c r="K515" t="s">
        <v>32</v>
      </c>
      <c r="L515">
        <v>61</v>
      </c>
      <c r="M515" t="str">
        <f t="shared" ref="M515:M578" si="8">IF(AND(L515&gt;=25,L515&lt;=35),"Very Young",IF(AND(L515&gt;35,L515&lt;=45),"Young",IF(AND(L515&gt;45,L515&lt;=55),"Mid Life",IF(AND(L515&gt;55,L515&lt;=65),"Old","Older"))))</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Young</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 Life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 Life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 Life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Very Young</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Young</v>
      </c>
      <c r="N522" t="s">
        <v>18</v>
      </c>
    </row>
    <row r="523" spans="1:14" x14ac:dyDescent="0.25">
      <c r="A523">
        <v>18976</v>
      </c>
      <c r="B523" t="s">
        <v>37</v>
      </c>
      <c r="C523" t="s">
        <v>38</v>
      </c>
      <c r="D523" s="1">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 Life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 Life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Older</v>
      </c>
      <c r="N526" t="s">
        <v>18</v>
      </c>
    </row>
    <row r="527" spans="1:14" x14ac:dyDescent="0.25">
      <c r="A527">
        <v>16791</v>
      </c>
      <c r="B527" t="s">
        <v>37</v>
      </c>
      <c r="C527" t="s">
        <v>38</v>
      </c>
      <c r="D527" s="1">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Young</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Young</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Very Young</v>
      </c>
      <c r="N530" t="s">
        <v>18</v>
      </c>
    </row>
    <row r="531" spans="1:14" x14ac:dyDescent="0.25">
      <c r="A531">
        <v>13233</v>
      </c>
      <c r="B531" t="s">
        <v>36</v>
      </c>
      <c r="C531" t="s">
        <v>38</v>
      </c>
      <c r="D531" s="1">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Very Young</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Very Young</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Young</v>
      </c>
      <c r="N534" t="s">
        <v>15</v>
      </c>
    </row>
    <row r="535" spans="1:14" x14ac:dyDescent="0.25">
      <c r="A535">
        <v>24941</v>
      </c>
      <c r="B535" t="s">
        <v>36</v>
      </c>
      <c r="C535" t="s">
        <v>38</v>
      </c>
      <c r="D535" s="1">
        <v>60000</v>
      </c>
      <c r="E535">
        <v>3</v>
      </c>
      <c r="F535" t="s">
        <v>13</v>
      </c>
      <c r="G535" t="s">
        <v>28</v>
      </c>
      <c r="H535" t="s">
        <v>15</v>
      </c>
      <c r="I535">
        <v>2</v>
      </c>
      <c r="J535" t="s">
        <v>30</v>
      </c>
      <c r="K535" t="s">
        <v>32</v>
      </c>
      <c r="L535">
        <v>66</v>
      </c>
      <c r="M535" t="str">
        <f t="shared" si="8"/>
        <v>Older</v>
      </c>
      <c r="N535" t="s">
        <v>18</v>
      </c>
    </row>
    <row r="536" spans="1:14" x14ac:dyDescent="0.25">
      <c r="A536">
        <v>24637</v>
      </c>
      <c r="B536" t="s">
        <v>36</v>
      </c>
      <c r="C536" t="s">
        <v>38</v>
      </c>
      <c r="D536" s="1">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30</v>
      </c>
      <c r="K537" t="s">
        <v>32</v>
      </c>
      <c r="L537">
        <v>41</v>
      </c>
      <c r="M537" t="str">
        <f t="shared" si="8"/>
        <v>Young</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Young</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 Life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Young</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Young</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 Life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Very Young</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Very Young</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 Life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Young</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Very Young</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Young</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Mid Life</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 Life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Young</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Young</v>
      </c>
      <c r="N552" t="s">
        <v>15</v>
      </c>
    </row>
    <row r="553" spans="1:14" x14ac:dyDescent="0.25">
      <c r="A553">
        <v>27393</v>
      </c>
      <c r="B553" t="s">
        <v>36</v>
      </c>
      <c r="C553" t="s">
        <v>39</v>
      </c>
      <c r="D553" s="1">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30</v>
      </c>
      <c r="K554" t="s">
        <v>32</v>
      </c>
      <c r="L554">
        <v>54</v>
      </c>
      <c r="M554" t="str">
        <f t="shared" si="8"/>
        <v>Mid Life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Older</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Young</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Young</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Young</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Very Young</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Young</v>
      </c>
      <c r="N560" t="s">
        <v>18</v>
      </c>
    </row>
    <row r="561" spans="1:14" x14ac:dyDescent="0.25">
      <c r="A561">
        <v>15895</v>
      </c>
      <c r="B561" t="s">
        <v>37</v>
      </c>
      <c r="C561" t="s">
        <v>39</v>
      </c>
      <c r="D561" s="1">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Young</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 Life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Very Young</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Very Young</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Very Young</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 Life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Older</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 Life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Young</v>
      </c>
      <c r="N570" t="s">
        <v>15</v>
      </c>
    </row>
    <row r="571" spans="1:14" x14ac:dyDescent="0.25">
      <c r="A571">
        <v>26452</v>
      </c>
      <c r="B571" t="s">
        <v>37</v>
      </c>
      <c r="C571" t="s">
        <v>38</v>
      </c>
      <c r="D571" s="1">
        <v>50000</v>
      </c>
      <c r="E571">
        <v>3</v>
      </c>
      <c r="F571" t="s">
        <v>31</v>
      </c>
      <c r="G571" t="s">
        <v>28</v>
      </c>
      <c r="H571" t="s">
        <v>15</v>
      </c>
      <c r="I571">
        <v>2</v>
      </c>
      <c r="J571" t="s">
        <v>30</v>
      </c>
      <c r="K571" t="s">
        <v>32</v>
      </c>
      <c r="L571">
        <v>69</v>
      </c>
      <c r="M571" t="str">
        <f t="shared" si="8"/>
        <v>Older</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 Life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Mid Life</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Very Young</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Very Young</v>
      </c>
      <c r="N576" t="s">
        <v>15</v>
      </c>
    </row>
    <row r="577" spans="1:14" x14ac:dyDescent="0.25">
      <c r="A577">
        <v>13388</v>
      </c>
      <c r="B577" t="s">
        <v>37</v>
      </c>
      <c r="C577" t="s">
        <v>38</v>
      </c>
      <c r="D577" s="1">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Very Young</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IF(AND(L579&gt;=25,L579&lt;=35),"Very Young",IF(AND(L579&gt;35,L579&lt;=45),"Young",IF(AND(L579&gt;45,L579&lt;=55),"Mid Life",IF(AND(L579&gt;55,L579&lt;=65),"Old","Older"))))</f>
        <v>Young</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Very Young</v>
      </c>
      <c r="N581" t="s">
        <v>18</v>
      </c>
    </row>
    <row r="582" spans="1:14" x14ac:dyDescent="0.25">
      <c r="A582">
        <v>20380</v>
      </c>
      <c r="B582" t="s">
        <v>36</v>
      </c>
      <c r="C582" t="s">
        <v>39</v>
      </c>
      <c r="D582" s="1">
        <v>60000</v>
      </c>
      <c r="E582">
        <v>3</v>
      </c>
      <c r="F582" t="s">
        <v>31</v>
      </c>
      <c r="G582" t="s">
        <v>28</v>
      </c>
      <c r="H582" t="s">
        <v>15</v>
      </c>
      <c r="I582">
        <v>2</v>
      </c>
      <c r="J582" t="s">
        <v>30</v>
      </c>
      <c r="K582" t="s">
        <v>32</v>
      </c>
      <c r="L582">
        <v>69</v>
      </c>
      <c r="M582" t="str">
        <f t="shared" si="9"/>
        <v>Older</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Very Young</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 Life</v>
      </c>
      <c r="N584" t="s">
        <v>18</v>
      </c>
    </row>
    <row r="585" spans="1:14" x14ac:dyDescent="0.25">
      <c r="A585">
        <v>24943</v>
      </c>
      <c r="B585" t="s">
        <v>36</v>
      </c>
      <c r="C585" t="s">
        <v>38</v>
      </c>
      <c r="D585" s="1">
        <v>60000</v>
      </c>
      <c r="E585">
        <v>3</v>
      </c>
      <c r="F585" t="s">
        <v>13</v>
      </c>
      <c r="G585" t="s">
        <v>28</v>
      </c>
      <c r="H585" t="s">
        <v>15</v>
      </c>
      <c r="I585">
        <v>2</v>
      </c>
      <c r="J585" t="s">
        <v>30</v>
      </c>
      <c r="K585" t="s">
        <v>32</v>
      </c>
      <c r="L585">
        <v>66</v>
      </c>
      <c r="M585" t="str">
        <f t="shared" si="9"/>
        <v>Older</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Young</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Young</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 Life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Young</v>
      </c>
      <c r="N589" t="s">
        <v>18</v>
      </c>
    </row>
    <row r="590" spans="1:14" x14ac:dyDescent="0.25">
      <c r="A590">
        <v>16871</v>
      </c>
      <c r="B590" t="s">
        <v>36</v>
      </c>
      <c r="C590" t="s">
        <v>39</v>
      </c>
      <c r="D590" s="1">
        <v>90000</v>
      </c>
      <c r="E590">
        <v>2</v>
      </c>
      <c r="F590" t="s">
        <v>27</v>
      </c>
      <c r="G590" t="s">
        <v>21</v>
      </c>
      <c r="H590" t="s">
        <v>15</v>
      </c>
      <c r="I590">
        <v>1</v>
      </c>
      <c r="J590" t="s">
        <v>30</v>
      </c>
      <c r="K590" t="s">
        <v>32</v>
      </c>
      <c r="L590">
        <v>51</v>
      </c>
      <c r="M590" t="str">
        <f t="shared" si="9"/>
        <v>Mid Life</v>
      </c>
      <c r="N590" t="s">
        <v>15</v>
      </c>
    </row>
    <row r="591" spans="1:14" x14ac:dyDescent="0.25">
      <c r="A591">
        <v>12100</v>
      </c>
      <c r="B591" t="s">
        <v>37</v>
      </c>
      <c r="C591" t="s">
        <v>38</v>
      </c>
      <c r="D591" s="1">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Very Young</v>
      </c>
      <c r="N592" t="s">
        <v>15</v>
      </c>
    </row>
    <row r="593" spans="1:14" x14ac:dyDescent="0.25">
      <c r="A593">
        <v>18545</v>
      </c>
      <c r="B593" t="s">
        <v>36</v>
      </c>
      <c r="C593" t="s">
        <v>38</v>
      </c>
      <c r="D593" s="1">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Young</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 Life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Older</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Older</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Young</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Young</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 Life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Young</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 Life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Very Young</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Very Young</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 Life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Young</v>
      </c>
      <c r="N608" t="s">
        <v>18</v>
      </c>
    </row>
    <row r="609" spans="1:14" x14ac:dyDescent="0.25">
      <c r="A609">
        <v>16145</v>
      </c>
      <c r="B609" t="s">
        <v>37</v>
      </c>
      <c r="C609" t="s">
        <v>39</v>
      </c>
      <c r="D609" s="1">
        <v>70000</v>
      </c>
      <c r="E609">
        <v>5</v>
      </c>
      <c r="F609" t="s">
        <v>31</v>
      </c>
      <c r="G609" t="s">
        <v>21</v>
      </c>
      <c r="H609" t="s">
        <v>15</v>
      </c>
      <c r="I609">
        <v>3</v>
      </c>
      <c r="J609" t="s">
        <v>30</v>
      </c>
      <c r="K609" t="s">
        <v>32</v>
      </c>
      <c r="L609">
        <v>46</v>
      </c>
      <c r="M609" t="str">
        <f t="shared" si="9"/>
        <v>Mid Life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 Life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Young</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Young</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Very Young</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Very Young</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Young</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Young</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 Life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 Life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Young</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 Life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Very Young</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Young</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 Life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Mid Life</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Very Young</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Older</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Very Young</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Older</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 Life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Very Young</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Very Young</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Young</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 Life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Young</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Older</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 Life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Young</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Very Young</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Older</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30</v>
      </c>
      <c r="K643" t="s">
        <v>32</v>
      </c>
      <c r="L643">
        <v>64</v>
      </c>
      <c r="M643" t="str">
        <f t="shared" ref="M643:M706" si="10">IF(AND(L643&gt;=25,L643&lt;=35),"Very Young",IF(AND(L643&gt;35,L643&lt;=45),"Young",IF(AND(L643&gt;45,L643&lt;=55),"Mid Life",IF(AND(L643&gt;55,L643&lt;=65),"Old","Older"))))</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 Life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Very Young</v>
      </c>
      <c r="N645" t="s">
        <v>15</v>
      </c>
    </row>
    <row r="646" spans="1:14" x14ac:dyDescent="0.25">
      <c r="A646">
        <v>23368</v>
      </c>
      <c r="B646" t="s">
        <v>36</v>
      </c>
      <c r="C646" t="s">
        <v>39</v>
      </c>
      <c r="D646" s="1">
        <v>60000</v>
      </c>
      <c r="E646">
        <v>5</v>
      </c>
      <c r="F646" t="s">
        <v>13</v>
      </c>
      <c r="G646" t="s">
        <v>14</v>
      </c>
      <c r="H646" t="s">
        <v>15</v>
      </c>
      <c r="I646">
        <v>3</v>
      </c>
      <c r="J646" t="s">
        <v>30</v>
      </c>
      <c r="K646" t="s">
        <v>32</v>
      </c>
      <c r="L646">
        <v>41</v>
      </c>
      <c r="M646" t="str">
        <f t="shared" si="10"/>
        <v>Young</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Young</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 Life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Very Young</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Young</v>
      </c>
      <c r="N651" t="s">
        <v>15</v>
      </c>
    </row>
    <row r="652" spans="1:14" x14ac:dyDescent="0.25">
      <c r="A652">
        <v>18435</v>
      </c>
      <c r="B652" t="s">
        <v>37</v>
      </c>
      <c r="C652" t="s">
        <v>39</v>
      </c>
      <c r="D652" s="1">
        <v>70000</v>
      </c>
      <c r="E652">
        <v>5</v>
      </c>
      <c r="F652" t="s">
        <v>31</v>
      </c>
      <c r="G652" t="s">
        <v>28</v>
      </c>
      <c r="H652" t="s">
        <v>15</v>
      </c>
      <c r="I652">
        <v>2</v>
      </c>
      <c r="J652" t="s">
        <v>30</v>
      </c>
      <c r="K652" t="s">
        <v>32</v>
      </c>
      <c r="L652">
        <v>67</v>
      </c>
      <c r="M652" t="str">
        <f t="shared" si="10"/>
        <v>Older</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Very Young</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Young</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Very Young</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Very Young</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Very Young</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 Life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Young</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Young</v>
      </c>
      <c r="N660" t="s">
        <v>15</v>
      </c>
    </row>
    <row r="661" spans="1:14" x14ac:dyDescent="0.25">
      <c r="A661">
        <v>24643</v>
      </c>
      <c r="B661" t="s">
        <v>37</v>
      </c>
      <c r="C661" t="s">
        <v>39</v>
      </c>
      <c r="D661" s="1">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Young</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Very Young</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Young</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 Life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Young</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Young</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 Life</v>
      </c>
      <c r="N668" t="s">
        <v>15</v>
      </c>
    </row>
    <row r="669" spans="1:14" x14ac:dyDescent="0.25">
      <c r="A669">
        <v>20505</v>
      </c>
      <c r="B669" t="s">
        <v>36</v>
      </c>
      <c r="C669" t="s">
        <v>39</v>
      </c>
      <c r="D669" s="1">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Young</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 Life</v>
      </c>
      <c r="N671" t="s">
        <v>18</v>
      </c>
    </row>
    <row r="672" spans="1:14" x14ac:dyDescent="0.25">
      <c r="A672">
        <v>21471</v>
      </c>
      <c r="B672" t="s">
        <v>36</v>
      </c>
      <c r="C672" t="s">
        <v>38</v>
      </c>
      <c r="D672" s="1">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Young</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Very Young</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Very Young</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 Life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Young</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 Life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 Life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Very Young</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 Life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 Life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Young</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Young</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 Life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 Life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Very Young</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Very Young</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Very Young</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Young</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Very Young</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Young</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Young</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Young</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Young</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Very Young</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Very Young</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 Life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Young</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Very Young</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 Life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Very Young</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Young</v>
      </c>
      <c r="N706" t="s">
        <v>15</v>
      </c>
    </row>
    <row r="707" spans="1:14" x14ac:dyDescent="0.25">
      <c r="A707">
        <v>11199</v>
      </c>
      <c r="B707" t="s">
        <v>36</v>
      </c>
      <c r="C707" t="s">
        <v>39</v>
      </c>
      <c r="D707" s="1">
        <v>70000</v>
      </c>
      <c r="E707">
        <v>4</v>
      </c>
      <c r="F707" t="s">
        <v>13</v>
      </c>
      <c r="G707" t="s">
        <v>28</v>
      </c>
      <c r="H707" t="s">
        <v>15</v>
      </c>
      <c r="I707">
        <v>1</v>
      </c>
      <c r="J707" t="s">
        <v>30</v>
      </c>
      <c r="K707" t="s">
        <v>32</v>
      </c>
      <c r="L707">
        <v>59</v>
      </c>
      <c r="M707" t="str">
        <f t="shared" ref="M707:M770" si="11">IF(AND(L707&gt;=25,L707&lt;=35),"Very Young",IF(AND(L707&gt;35,L707&lt;=45),"Young",IF(AND(L707&gt;45,L707&lt;=55),"Mid Life",IF(AND(L707&gt;55,L707&lt;=65),"Old","Older"))))</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Very Young</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Young</v>
      </c>
      <c r="N709" t="s">
        <v>15</v>
      </c>
    </row>
    <row r="710" spans="1:14" x14ac:dyDescent="0.25">
      <c r="A710">
        <v>18069</v>
      </c>
      <c r="B710" t="s">
        <v>36</v>
      </c>
      <c r="C710" t="s">
        <v>38</v>
      </c>
      <c r="D710" s="1">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Very Young</v>
      </c>
      <c r="N712" t="s">
        <v>15</v>
      </c>
    </row>
    <row r="713" spans="1:14" x14ac:dyDescent="0.25">
      <c r="A713">
        <v>20518</v>
      </c>
      <c r="B713" t="s">
        <v>36</v>
      </c>
      <c r="C713" t="s">
        <v>39</v>
      </c>
      <c r="D713" s="1">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Young</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Very Young</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Young</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Young</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Young</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Young</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Young</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Young</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 Life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 Life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 Life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Young</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 Life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 Life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Very Young</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 Life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Young</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 Life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Young</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Young</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Young</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Very Young</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Very Young</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 Life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 Life</v>
      </c>
      <c r="N740" t="s">
        <v>15</v>
      </c>
    </row>
    <row r="741" spans="1:14" x14ac:dyDescent="0.25">
      <c r="A741">
        <v>11225</v>
      </c>
      <c r="B741" t="s">
        <v>36</v>
      </c>
      <c r="C741" t="s">
        <v>39</v>
      </c>
      <c r="D741" s="1">
        <v>60000</v>
      </c>
      <c r="E741">
        <v>2</v>
      </c>
      <c r="F741" t="s">
        <v>19</v>
      </c>
      <c r="G741" t="s">
        <v>21</v>
      </c>
      <c r="H741" t="s">
        <v>15</v>
      </c>
      <c r="I741">
        <v>1</v>
      </c>
      <c r="J741" t="s">
        <v>30</v>
      </c>
      <c r="K741" t="s">
        <v>32</v>
      </c>
      <c r="L741">
        <v>55</v>
      </c>
      <c r="M741" t="str">
        <f t="shared" si="11"/>
        <v>Mid Life</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Very Young</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 Life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Very Young</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Young</v>
      </c>
      <c r="N745" t="s">
        <v>18</v>
      </c>
    </row>
    <row r="746" spans="1:14" x14ac:dyDescent="0.25">
      <c r="A746">
        <v>20535</v>
      </c>
      <c r="B746" t="s">
        <v>36</v>
      </c>
      <c r="C746" t="s">
        <v>39</v>
      </c>
      <c r="D746" s="1">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 Life</v>
      </c>
      <c r="N747" t="s">
        <v>15</v>
      </c>
    </row>
    <row r="748" spans="1:14" x14ac:dyDescent="0.25">
      <c r="A748">
        <v>28043</v>
      </c>
      <c r="B748" t="s">
        <v>36</v>
      </c>
      <c r="C748" t="s">
        <v>39</v>
      </c>
      <c r="D748" s="1">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Young</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Older</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 Life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Young</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Very Young</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Very Young</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 Life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Young</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 Life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 Life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Young</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 Life</v>
      </c>
      <c r="N762" t="s">
        <v>18</v>
      </c>
    </row>
    <row r="763" spans="1:14" x14ac:dyDescent="0.25">
      <c r="A763">
        <v>13216</v>
      </c>
      <c r="B763" t="s">
        <v>36</v>
      </c>
      <c r="C763" t="s">
        <v>39</v>
      </c>
      <c r="D763" s="1">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Young</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Very Young</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Very Young</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Very Young</v>
      </c>
      <c r="N767" t="s">
        <v>15</v>
      </c>
    </row>
    <row r="768" spans="1:14" x14ac:dyDescent="0.25">
      <c r="A768">
        <v>14608</v>
      </c>
      <c r="B768" t="s">
        <v>36</v>
      </c>
      <c r="C768" t="s">
        <v>38</v>
      </c>
      <c r="D768" s="1">
        <v>50000</v>
      </c>
      <c r="E768">
        <v>4</v>
      </c>
      <c r="F768" t="s">
        <v>13</v>
      </c>
      <c r="G768" t="s">
        <v>14</v>
      </c>
      <c r="H768" t="s">
        <v>15</v>
      </c>
      <c r="I768">
        <v>3</v>
      </c>
      <c r="J768" t="s">
        <v>30</v>
      </c>
      <c r="K768" t="s">
        <v>32</v>
      </c>
      <c r="L768">
        <v>42</v>
      </c>
      <c r="M768" t="str">
        <f t="shared" si="11"/>
        <v>Young</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Young</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IF(AND(L771&gt;=25,L771&lt;=35),"Very Young",IF(AND(L771&gt;35,L771&lt;=45),"Young",IF(AND(L771&gt;45,L771&lt;=55),"Mid Life",IF(AND(L771&gt;55,L771&lt;=65),"Old","Older"))))</f>
        <v>Young</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Mid Life</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 Life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 Life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Very Young</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Young</v>
      </c>
      <c r="N776" t="s">
        <v>15</v>
      </c>
    </row>
    <row r="777" spans="1:14" x14ac:dyDescent="0.25">
      <c r="A777">
        <v>29030</v>
      </c>
      <c r="B777" t="s">
        <v>36</v>
      </c>
      <c r="C777" t="s">
        <v>38</v>
      </c>
      <c r="D777" s="1">
        <v>70000</v>
      </c>
      <c r="E777">
        <v>2</v>
      </c>
      <c r="F777" t="s">
        <v>29</v>
      </c>
      <c r="G777" t="s">
        <v>14</v>
      </c>
      <c r="H777" t="s">
        <v>15</v>
      </c>
      <c r="I777">
        <v>2</v>
      </c>
      <c r="J777" t="s">
        <v>30</v>
      </c>
      <c r="K777" t="s">
        <v>32</v>
      </c>
      <c r="L777">
        <v>54</v>
      </c>
      <c r="M777" t="str">
        <f t="shared" si="12"/>
        <v>Mid Life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Very Young</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Young</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 Life</v>
      </c>
      <c r="N781" t="s">
        <v>15</v>
      </c>
    </row>
    <row r="782" spans="1:14" x14ac:dyDescent="0.25">
      <c r="A782">
        <v>18105</v>
      </c>
      <c r="B782" t="s">
        <v>36</v>
      </c>
      <c r="C782" t="s">
        <v>39</v>
      </c>
      <c r="D782" s="1">
        <v>60000</v>
      </c>
      <c r="E782">
        <v>2</v>
      </c>
      <c r="F782" t="s">
        <v>19</v>
      </c>
      <c r="G782" t="s">
        <v>21</v>
      </c>
      <c r="H782" t="s">
        <v>15</v>
      </c>
      <c r="I782">
        <v>1</v>
      </c>
      <c r="J782" t="s">
        <v>30</v>
      </c>
      <c r="K782" t="s">
        <v>32</v>
      </c>
      <c r="L782">
        <v>55</v>
      </c>
      <c r="M782" t="str">
        <f t="shared" si="12"/>
        <v>Mid Life</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Young</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Young</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Young</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 Life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Very Young</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Very Young</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 Life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 Life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 Life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Very Young</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 Life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 Life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Older</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 Life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Very Young</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Very Young</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Very Young</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Young</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Older</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Very Young</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Very Young</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Very Young</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Very Young</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 Life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Very Young</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 Life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Older</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 Life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Very Young</v>
      </c>
      <c r="N813" t="s">
        <v>18</v>
      </c>
    </row>
    <row r="814" spans="1:14" x14ac:dyDescent="0.25">
      <c r="A814">
        <v>15749</v>
      </c>
      <c r="B814" t="s">
        <v>37</v>
      </c>
      <c r="C814" t="s">
        <v>39</v>
      </c>
      <c r="D814" s="1">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30</v>
      </c>
      <c r="K815" t="s">
        <v>32</v>
      </c>
      <c r="L815">
        <v>53</v>
      </c>
      <c r="M815" t="str">
        <f t="shared" si="12"/>
        <v>Mid Life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Very Young</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Young</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Young</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Very Young</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Very Young</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Young</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Very Young</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Very Young</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 Life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Young</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 Life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Young</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Young</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Very Young</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Older</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 Life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Young</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Young</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IF(AND(L835&gt;=25,L835&lt;=35),"Very Young",IF(AND(L835&gt;35,L835&lt;=45),"Young",IF(AND(L835&gt;45,L835&lt;=55),"Mid Life",IF(AND(L835&gt;55,L835&lt;=65),"Old","Older"))))</f>
        <v>Young</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 Life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Young</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Very Young</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Very Young</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Young</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Young</v>
      </c>
      <c r="N841" t="s">
        <v>15</v>
      </c>
    </row>
    <row r="842" spans="1:14" x14ac:dyDescent="0.25">
      <c r="A842">
        <v>11233</v>
      </c>
      <c r="B842" t="s">
        <v>36</v>
      </c>
      <c r="C842" t="s">
        <v>38</v>
      </c>
      <c r="D842" s="1">
        <v>70000</v>
      </c>
      <c r="E842">
        <v>4</v>
      </c>
      <c r="F842" t="s">
        <v>19</v>
      </c>
      <c r="G842" t="s">
        <v>21</v>
      </c>
      <c r="H842" t="s">
        <v>15</v>
      </c>
      <c r="I842">
        <v>2</v>
      </c>
      <c r="J842" t="s">
        <v>30</v>
      </c>
      <c r="K842" t="s">
        <v>32</v>
      </c>
      <c r="L842">
        <v>53</v>
      </c>
      <c r="M842" t="str">
        <f t="shared" si="13"/>
        <v>Mid Life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Young</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 Life</v>
      </c>
      <c r="N845" t="s">
        <v>18</v>
      </c>
    </row>
    <row r="846" spans="1:14" x14ac:dyDescent="0.25">
      <c r="A846">
        <v>22743</v>
      </c>
      <c r="B846" t="s">
        <v>36</v>
      </c>
      <c r="C846" t="s">
        <v>39</v>
      </c>
      <c r="D846" s="1">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 Life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Very Young</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Young</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Older</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Very Young</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Young</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Very Young</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Very Young</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Very Young</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Very Young</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 Life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Young</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 Life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Very Young</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 Life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Very Young</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Young</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Very Young</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Young</v>
      </c>
      <c r="N867" t="s">
        <v>15</v>
      </c>
    </row>
    <row r="868" spans="1:14" x14ac:dyDescent="0.25">
      <c r="A868">
        <v>28052</v>
      </c>
      <c r="B868" t="s">
        <v>36</v>
      </c>
      <c r="C868" t="s">
        <v>38</v>
      </c>
      <c r="D868" s="1">
        <v>60000</v>
      </c>
      <c r="E868">
        <v>2</v>
      </c>
      <c r="F868" t="s">
        <v>27</v>
      </c>
      <c r="G868" t="s">
        <v>21</v>
      </c>
      <c r="H868" t="s">
        <v>15</v>
      </c>
      <c r="I868">
        <v>2</v>
      </c>
      <c r="J868" t="s">
        <v>30</v>
      </c>
      <c r="K868" t="s">
        <v>32</v>
      </c>
      <c r="L868">
        <v>55</v>
      </c>
      <c r="M868" t="str">
        <f t="shared" si="13"/>
        <v>Mid Life</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 Life</v>
      </c>
      <c r="N869" t="s">
        <v>18</v>
      </c>
    </row>
    <row r="870" spans="1:14" x14ac:dyDescent="0.25">
      <c r="A870">
        <v>24955</v>
      </c>
      <c r="B870" t="s">
        <v>37</v>
      </c>
      <c r="C870" t="s">
        <v>38</v>
      </c>
      <c r="D870" s="1">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Young</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 Life</v>
      </c>
      <c r="N872" t="s">
        <v>18</v>
      </c>
    </row>
    <row r="873" spans="1:14" x14ac:dyDescent="0.25">
      <c r="A873">
        <v>11219</v>
      </c>
      <c r="B873" t="s">
        <v>36</v>
      </c>
      <c r="C873" t="s">
        <v>38</v>
      </c>
      <c r="D873" s="1">
        <v>60000</v>
      </c>
      <c r="E873">
        <v>2</v>
      </c>
      <c r="F873" t="s">
        <v>27</v>
      </c>
      <c r="G873" t="s">
        <v>21</v>
      </c>
      <c r="H873" t="s">
        <v>15</v>
      </c>
      <c r="I873">
        <v>2</v>
      </c>
      <c r="J873" t="s">
        <v>30</v>
      </c>
      <c r="K873" t="s">
        <v>32</v>
      </c>
      <c r="L873">
        <v>55</v>
      </c>
      <c r="M873" t="str">
        <f t="shared" si="13"/>
        <v>Mid Life</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 Life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Young</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 Life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Young</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Very Young</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Older</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Young</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Young</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Older</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Very Young</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 Life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Older</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 Life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Very Young</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Very Young</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Young</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Very Young</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 Life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Older</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Young</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Very Young</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Very Young</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Very Young</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IF(AND(L899&gt;=25,L899&lt;=35),"Very Young",IF(AND(L899&gt;35,L899&lt;=45),"Young",IF(AND(L899&gt;45,L899&lt;=55),"Mid Life",IF(AND(L899&gt;55,L899&lt;=65),"Old","Older"))))</f>
        <v>Very Young</v>
      </c>
      <c r="N899" t="s">
        <v>18</v>
      </c>
    </row>
    <row r="900" spans="1:14" x14ac:dyDescent="0.25">
      <c r="A900">
        <v>18066</v>
      </c>
      <c r="B900" t="s">
        <v>37</v>
      </c>
      <c r="C900" t="s">
        <v>38</v>
      </c>
      <c r="D900" s="1">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30</v>
      </c>
      <c r="K901" t="s">
        <v>32</v>
      </c>
      <c r="L901">
        <v>46</v>
      </c>
      <c r="M901" t="str">
        <f t="shared" si="14"/>
        <v>Mid Life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Young</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Young</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Young</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Older</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Young</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Young</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Very Young</v>
      </c>
      <c r="N908" t="s">
        <v>15</v>
      </c>
    </row>
    <row r="909" spans="1:14" x14ac:dyDescent="0.25">
      <c r="A909">
        <v>19747</v>
      </c>
      <c r="B909" t="s">
        <v>36</v>
      </c>
      <c r="C909" t="s">
        <v>38</v>
      </c>
      <c r="D909" s="1">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Young</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Young</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 Life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Very Young</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Young</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 Life</v>
      </c>
      <c r="N916" t="s">
        <v>18</v>
      </c>
    </row>
    <row r="917" spans="1:14" x14ac:dyDescent="0.25">
      <c r="A917">
        <v>21752</v>
      </c>
      <c r="B917" t="s">
        <v>36</v>
      </c>
      <c r="C917" t="s">
        <v>38</v>
      </c>
      <c r="D917" s="1">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Very Young</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Young</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Very Young</v>
      </c>
      <c r="N920" t="s">
        <v>15</v>
      </c>
    </row>
    <row r="921" spans="1:14" x14ac:dyDescent="0.25">
      <c r="A921">
        <v>21451</v>
      </c>
      <c r="B921" t="s">
        <v>36</v>
      </c>
      <c r="C921" t="s">
        <v>39</v>
      </c>
      <c r="D921" s="1">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 Life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 Life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 Life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 Life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 Life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Very Young</v>
      </c>
      <c r="N927" t="s">
        <v>15</v>
      </c>
    </row>
    <row r="928" spans="1:14" x14ac:dyDescent="0.25">
      <c r="A928">
        <v>26495</v>
      </c>
      <c r="B928" t="s">
        <v>37</v>
      </c>
      <c r="C928" t="s">
        <v>39</v>
      </c>
      <c r="D928" s="1">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Young</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 Life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 Life</v>
      </c>
      <c r="N931" t="s">
        <v>18</v>
      </c>
    </row>
    <row r="932" spans="1:14" x14ac:dyDescent="0.25">
      <c r="A932">
        <v>19543</v>
      </c>
      <c r="B932" t="s">
        <v>36</v>
      </c>
      <c r="C932" t="s">
        <v>38</v>
      </c>
      <c r="D932" s="1">
        <v>70000</v>
      </c>
      <c r="E932">
        <v>5</v>
      </c>
      <c r="F932" t="s">
        <v>31</v>
      </c>
      <c r="G932" t="s">
        <v>21</v>
      </c>
      <c r="H932" t="s">
        <v>18</v>
      </c>
      <c r="I932">
        <v>3</v>
      </c>
      <c r="J932" t="s">
        <v>30</v>
      </c>
      <c r="K932" t="s">
        <v>32</v>
      </c>
      <c r="L932">
        <v>47</v>
      </c>
      <c r="M932" t="str">
        <f t="shared" si="14"/>
        <v>Mid Life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 Life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Very Young</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Very Young</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Young</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Young</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Very Young</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 Life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Very Young</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Very Young</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 Life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Young</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Very Young</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Young</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Young</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Young</v>
      </c>
      <c r="N950" t="s">
        <v>18</v>
      </c>
    </row>
    <row r="951" spans="1:14" x14ac:dyDescent="0.25">
      <c r="A951">
        <v>28056</v>
      </c>
      <c r="B951" t="s">
        <v>36</v>
      </c>
      <c r="C951" t="s">
        <v>38</v>
      </c>
      <c r="D951" s="1">
        <v>70000</v>
      </c>
      <c r="E951">
        <v>2</v>
      </c>
      <c r="F951" t="s">
        <v>29</v>
      </c>
      <c r="G951" t="s">
        <v>14</v>
      </c>
      <c r="H951" t="s">
        <v>15</v>
      </c>
      <c r="I951">
        <v>2</v>
      </c>
      <c r="J951" t="s">
        <v>30</v>
      </c>
      <c r="K951" t="s">
        <v>32</v>
      </c>
      <c r="L951">
        <v>53</v>
      </c>
      <c r="M951" t="str">
        <f t="shared" si="14"/>
        <v>Mid Life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Very Young</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Young</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Very Young</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 Life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Young</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Very Young</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Very Young</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 Life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Young</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Young</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IF(AND(L963&gt;=25,L963&lt;=35),"Very Young",IF(AND(L963&gt;35,L963&lt;=45),"Young",IF(AND(L963&gt;45,L963&lt;=55),"Mid Life",IF(AND(L963&gt;55,L963&lt;=65),"Old","Older"))))</f>
        <v>Old</v>
      </c>
      <c r="N963" t="s">
        <v>18</v>
      </c>
    </row>
    <row r="964" spans="1:14" x14ac:dyDescent="0.25">
      <c r="A964">
        <v>16813</v>
      </c>
      <c r="B964" t="s">
        <v>36</v>
      </c>
      <c r="C964" t="s">
        <v>38</v>
      </c>
      <c r="D964" s="1">
        <v>60000</v>
      </c>
      <c r="E964">
        <v>2</v>
      </c>
      <c r="F964" t="s">
        <v>19</v>
      </c>
      <c r="G964" t="s">
        <v>21</v>
      </c>
      <c r="H964" t="s">
        <v>15</v>
      </c>
      <c r="I964">
        <v>2</v>
      </c>
      <c r="J964" t="s">
        <v>30</v>
      </c>
      <c r="K964" t="s">
        <v>32</v>
      </c>
      <c r="L964">
        <v>55</v>
      </c>
      <c r="M964" t="str">
        <f t="shared" si="15"/>
        <v>Mid Life</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Older</v>
      </c>
      <c r="N965" t="s">
        <v>15</v>
      </c>
    </row>
    <row r="966" spans="1:14" x14ac:dyDescent="0.25">
      <c r="A966">
        <v>27434</v>
      </c>
      <c r="B966" t="s">
        <v>37</v>
      </c>
      <c r="C966" t="s">
        <v>38</v>
      </c>
      <c r="D966" s="1">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Young</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Very Young</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Very Young</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Young</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Very Young</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 Life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 Life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 Life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 Life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Very Young</v>
      </c>
      <c r="N977" t="s">
        <v>15</v>
      </c>
    </row>
    <row r="978" spans="1:14" x14ac:dyDescent="0.25">
      <c r="A978">
        <v>28004</v>
      </c>
      <c r="B978" t="s">
        <v>36</v>
      </c>
      <c r="C978" t="s">
        <v>39</v>
      </c>
      <c r="D978" s="1">
        <v>60000</v>
      </c>
      <c r="E978">
        <v>3</v>
      </c>
      <c r="F978" t="s">
        <v>13</v>
      </c>
      <c r="G978" t="s">
        <v>28</v>
      </c>
      <c r="H978" t="s">
        <v>15</v>
      </c>
      <c r="I978">
        <v>2</v>
      </c>
      <c r="J978" t="s">
        <v>30</v>
      </c>
      <c r="K978" t="s">
        <v>32</v>
      </c>
      <c r="L978">
        <v>66</v>
      </c>
      <c r="M978" t="str">
        <f t="shared" si="15"/>
        <v>Older</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Young</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Very Young</v>
      </c>
      <c r="N981" t="s">
        <v>18</v>
      </c>
    </row>
    <row r="982" spans="1:14" x14ac:dyDescent="0.25">
      <c r="A982">
        <v>18594</v>
      </c>
      <c r="B982" t="s">
        <v>37</v>
      </c>
      <c r="C982" t="s">
        <v>39</v>
      </c>
      <c r="D982" s="1">
        <v>80000</v>
      </c>
      <c r="E982">
        <v>3</v>
      </c>
      <c r="F982" t="s">
        <v>13</v>
      </c>
      <c r="G982" t="s">
        <v>14</v>
      </c>
      <c r="H982" t="s">
        <v>15</v>
      </c>
      <c r="I982">
        <v>3</v>
      </c>
      <c r="J982" t="s">
        <v>30</v>
      </c>
      <c r="K982" t="s">
        <v>32</v>
      </c>
      <c r="L982">
        <v>40</v>
      </c>
      <c r="M982" t="str">
        <f t="shared" si="15"/>
        <v>Young</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 Life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 Life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Young</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 Life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Young</v>
      </c>
      <c r="N987" t="s">
        <v>18</v>
      </c>
    </row>
    <row r="988" spans="1:14" x14ac:dyDescent="0.25">
      <c r="A988">
        <v>23704</v>
      </c>
      <c r="B988" t="s">
        <v>37</v>
      </c>
      <c r="C988" t="s">
        <v>38</v>
      </c>
      <c r="D988" s="1">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30</v>
      </c>
      <c r="K989" t="s">
        <v>32</v>
      </c>
      <c r="L989">
        <v>66</v>
      </c>
      <c r="M989" t="str">
        <f t="shared" si="15"/>
        <v>Older</v>
      </c>
      <c r="N989" t="s">
        <v>18</v>
      </c>
    </row>
    <row r="990" spans="1:14" x14ac:dyDescent="0.25">
      <c r="A990">
        <v>22730</v>
      </c>
      <c r="B990" t="s">
        <v>36</v>
      </c>
      <c r="C990" t="s">
        <v>38</v>
      </c>
      <c r="D990" s="1">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30</v>
      </c>
      <c r="K991" t="s">
        <v>32</v>
      </c>
      <c r="L991">
        <v>42</v>
      </c>
      <c r="M991" t="str">
        <f t="shared" si="15"/>
        <v>Young</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Very Young</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Young</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 Life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Young</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 Life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 Life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Very Young</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Young</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Young</v>
      </c>
      <c r="N1000" t="s">
        <v>18</v>
      </c>
    </row>
    <row r="1001" spans="1:14" x14ac:dyDescent="0.25">
      <c r="A1001">
        <v>12121</v>
      </c>
      <c r="B1001" t="s">
        <v>37</v>
      </c>
      <c r="C1001" t="s">
        <v>38</v>
      </c>
      <c r="D1001" s="1">
        <v>60000</v>
      </c>
      <c r="E1001">
        <v>3</v>
      </c>
      <c r="F1001" t="s">
        <v>27</v>
      </c>
      <c r="G1001" t="s">
        <v>21</v>
      </c>
      <c r="H1001" t="s">
        <v>15</v>
      </c>
      <c r="I1001">
        <v>2</v>
      </c>
      <c r="J1001" t="s">
        <v>30</v>
      </c>
      <c r="K1001" t="s">
        <v>32</v>
      </c>
      <c r="L1001">
        <v>53</v>
      </c>
      <c r="M1001" t="str">
        <f t="shared" si="15"/>
        <v>Mid Life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0E9D-5E08-41C5-93DE-69568075C6B9}">
  <dimension ref="A3:E42"/>
  <sheetViews>
    <sheetView topLeftCell="A16" workbookViewId="0">
      <selection activeCell="B30" sqref="B29:B34"/>
    </sheetView>
  </sheetViews>
  <sheetFormatPr defaultRowHeight="15" x14ac:dyDescent="0.25"/>
  <cols>
    <col min="1" max="1" width="17.7109375" bestFit="1" customWidth="1"/>
    <col min="2" max="2" width="22.85546875" bestFit="1" customWidth="1"/>
    <col min="3" max="3" width="14" bestFit="1" customWidth="1"/>
    <col min="4" max="4" width="17.85546875" bestFit="1" customWidth="1"/>
    <col min="5" max="5" width="11.28515625" bestFit="1" customWidth="1"/>
  </cols>
  <sheetData>
    <row r="3" spans="1:5" x14ac:dyDescent="0.25">
      <c r="A3" s="3" t="s">
        <v>5</v>
      </c>
      <c r="B3" t="s">
        <v>52</v>
      </c>
    </row>
    <row r="4" spans="1:5" x14ac:dyDescent="0.25">
      <c r="E4" s="4"/>
    </row>
    <row r="5" spans="1:5" x14ac:dyDescent="0.25">
      <c r="A5" s="3" t="s">
        <v>41</v>
      </c>
      <c r="B5" t="s">
        <v>43</v>
      </c>
      <c r="E5" s="4"/>
    </row>
    <row r="6" spans="1:5" x14ac:dyDescent="0.25">
      <c r="A6" s="4" t="s">
        <v>17</v>
      </c>
      <c r="B6" s="5">
        <v>40900</v>
      </c>
      <c r="E6" s="4"/>
    </row>
    <row r="7" spans="1:5" x14ac:dyDescent="0.25">
      <c r="A7" s="4" t="s">
        <v>32</v>
      </c>
      <c r="B7" s="5">
        <v>62755.905511811026</v>
      </c>
      <c r="E7" s="4"/>
    </row>
    <row r="8" spans="1:5" x14ac:dyDescent="0.25">
      <c r="A8" s="4" t="s">
        <v>24</v>
      </c>
      <c r="B8" s="5">
        <v>63593.75</v>
      </c>
    </row>
    <row r="9" spans="1:5" x14ac:dyDescent="0.25">
      <c r="A9" s="4" t="s">
        <v>42</v>
      </c>
      <c r="B9" s="1">
        <v>56360</v>
      </c>
    </row>
    <row r="14" spans="1:5" x14ac:dyDescent="0.25">
      <c r="A14" s="3" t="s">
        <v>41</v>
      </c>
      <c r="B14" t="s">
        <v>49</v>
      </c>
      <c r="C14" t="s">
        <v>50</v>
      </c>
    </row>
    <row r="15" spans="1:5" x14ac:dyDescent="0.25">
      <c r="A15" s="4" t="s">
        <v>17</v>
      </c>
      <c r="B15">
        <v>300</v>
      </c>
      <c r="C15">
        <v>316</v>
      </c>
    </row>
    <row r="16" spans="1:5" x14ac:dyDescent="0.25">
      <c r="A16" s="4" t="s">
        <v>32</v>
      </c>
      <c r="B16">
        <v>508</v>
      </c>
      <c r="C16">
        <v>768</v>
      </c>
    </row>
    <row r="17" spans="1:3" x14ac:dyDescent="0.25">
      <c r="A17" s="4" t="s">
        <v>24</v>
      </c>
      <c r="B17">
        <v>192</v>
      </c>
      <c r="C17">
        <v>358</v>
      </c>
    </row>
    <row r="18" spans="1:3" x14ac:dyDescent="0.25">
      <c r="A18" s="4" t="s">
        <v>42</v>
      </c>
      <c r="B18">
        <v>1000</v>
      </c>
      <c r="C18">
        <v>1442</v>
      </c>
    </row>
    <row r="28" spans="1:3" x14ac:dyDescent="0.25">
      <c r="A28" s="3" t="s">
        <v>41</v>
      </c>
      <c r="B28" t="s">
        <v>43</v>
      </c>
    </row>
    <row r="29" spans="1:3" x14ac:dyDescent="0.25">
      <c r="A29" s="4" t="s">
        <v>13</v>
      </c>
      <c r="B29" s="7">
        <v>63006.535947712415</v>
      </c>
    </row>
    <row r="30" spans="1:3" x14ac:dyDescent="0.25">
      <c r="A30" s="4" t="s">
        <v>31</v>
      </c>
      <c r="B30" s="7">
        <v>66091.954022988502</v>
      </c>
    </row>
    <row r="31" spans="1:3" x14ac:dyDescent="0.25">
      <c r="A31" s="4" t="s">
        <v>27</v>
      </c>
      <c r="B31" s="7">
        <v>47262.569832402238</v>
      </c>
    </row>
    <row r="32" spans="1:3" x14ac:dyDescent="0.25">
      <c r="A32" s="4" t="s">
        <v>19</v>
      </c>
      <c r="B32" s="7">
        <v>54716.981132075474</v>
      </c>
    </row>
    <row r="33" spans="1:2" x14ac:dyDescent="0.25">
      <c r="A33" s="4" t="s">
        <v>29</v>
      </c>
      <c r="B33" s="7">
        <v>34473.684210526313</v>
      </c>
    </row>
    <row r="34" spans="1:2" x14ac:dyDescent="0.25">
      <c r="A34" s="4" t="s">
        <v>42</v>
      </c>
      <c r="B34" s="7">
        <v>56360</v>
      </c>
    </row>
    <row r="41" spans="1:2" x14ac:dyDescent="0.25">
      <c r="A41" t="s">
        <v>55</v>
      </c>
    </row>
    <row r="42" spans="1:2" x14ac:dyDescent="0.25">
      <c r="A42">
        <v>1.8979999999999999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C4AF5-F171-4944-A3D3-E5F95A12C178}">
  <dimension ref="C3:E15"/>
  <sheetViews>
    <sheetView topLeftCell="B1" workbookViewId="0">
      <selection activeCell="C9" sqref="C9:D15"/>
    </sheetView>
  </sheetViews>
  <sheetFormatPr defaultRowHeight="15" x14ac:dyDescent="0.25"/>
  <cols>
    <col min="2" max="2" width="18.5703125" customWidth="1"/>
    <col min="3" max="3" width="13.140625" bestFit="1" customWidth="1"/>
    <col min="4" max="4" width="17.85546875" bestFit="1" customWidth="1"/>
    <col min="5" max="6" width="19.28515625" bestFit="1" customWidth="1"/>
  </cols>
  <sheetData>
    <row r="3" spans="3:5" x14ac:dyDescent="0.25">
      <c r="C3" s="3" t="s">
        <v>41</v>
      </c>
      <c r="D3" t="s">
        <v>43</v>
      </c>
      <c r="E3" t="s">
        <v>51</v>
      </c>
    </row>
    <row r="4" spans="3:5" x14ac:dyDescent="0.25">
      <c r="C4" s="4" t="s">
        <v>39</v>
      </c>
      <c r="D4" s="6">
        <v>54580.777096114522</v>
      </c>
      <c r="E4">
        <v>489</v>
      </c>
    </row>
    <row r="5" spans="3:5" x14ac:dyDescent="0.25">
      <c r="C5" s="4" t="s">
        <v>38</v>
      </c>
      <c r="D5" s="6">
        <v>58062.62230919765</v>
      </c>
      <c r="E5">
        <v>511</v>
      </c>
    </row>
    <row r="6" spans="3:5" x14ac:dyDescent="0.25">
      <c r="C6" s="4" t="s">
        <v>42</v>
      </c>
      <c r="D6" s="6">
        <v>56360</v>
      </c>
      <c r="E6">
        <v>1000</v>
      </c>
    </row>
    <row r="9" spans="3:5" x14ac:dyDescent="0.25">
      <c r="C9" s="3" t="s">
        <v>41</v>
      </c>
      <c r="D9" t="s">
        <v>43</v>
      </c>
    </row>
    <row r="10" spans="3:5" x14ac:dyDescent="0.25">
      <c r="C10" s="4" t="s">
        <v>44</v>
      </c>
      <c r="D10" s="6">
        <v>62105.26315789474</v>
      </c>
    </row>
    <row r="11" spans="3:5" x14ac:dyDescent="0.25">
      <c r="C11" s="4" t="s">
        <v>45</v>
      </c>
      <c r="D11" s="6">
        <v>60578.512396694212</v>
      </c>
    </row>
    <row r="12" spans="3:5" x14ac:dyDescent="0.25">
      <c r="C12" s="4" t="s">
        <v>46</v>
      </c>
      <c r="D12" s="6">
        <v>56000</v>
      </c>
    </row>
    <row r="13" spans="3:5" x14ac:dyDescent="0.25">
      <c r="C13" s="4" t="s">
        <v>47</v>
      </c>
      <c r="D13" s="6">
        <v>43359.375</v>
      </c>
    </row>
    <row r="14" spans="3:5" x14ac:dyDescent="0.25">
      <c r="C14" s="4" t="s">
        <v>48</v>
      </c>
      <c r="D14" s="6">
        <v>60705.52147239264</v>
      </c>
    </row>
    <row r="15" spans="3:5" x14ac:dyDescent="0.25">
      <c r="C15" s="4" t="s">
        <v>42</v>
      </c>
      <c r="D15" s="6">
        <v>56360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EDE9-4DF5-4AE4-84E3-F3476E37A4FF}">
  <dimension ref="A1:T9"/>
  <sheetViews>
    <sheetView tabSelected="1" workbookViewId="0">
      <selection activeCell="E6" sqref="E6:G7"/>
    </sheetView>
  </sheetViews>
  <sheetFormatPr defaultRowHeight="15" x14ac:dyDescent="0.25"/>
  <cols>
    <col min="1" max="3" width="9.140625" style="9"/>
    <col min="4" max="11" width="9.140625" style="12"/>
    <col min="12" max="12" width="2.5703125" style="12" customWidth="1"/>
    <col min="13" max="14" width="9.140625" style="12"/>
    <col min="15" max="15" width="28.42578125" style="12" customWidth="1"/>
    <col min="16" max="16384" width="9.140625" style="12"/>
  </cols>
  <sheetData>
    <row r="1" spans="1:20" s="8" customFormat="1" x14ac:dyDescent="0.25">
      <c r="A1" s="9"/>
      <c r="B1" s="9"/>
      <c r="C1" s="9"/>
      <c r="D1" s="10" t="s">
        <v>53</v>
      </c>
      <c r="E1" s="11"/>
      <c r="F1" s="11"/>
      <c r="G1" s="11"/>
      <c r="H1" s="11"/>
      <c r="I1" s="11"/>
      <c r="J1" s="11"/>
      <c r="K1" s="11"/>
      <c r="L1" s="11"/>
      <c r="M1" s="11"/>
      <c r="N1" s="11"/>
      <c r="O1" s="11"/>
      <c r="P1" s="11"/>
      <c r="Q1" s="11"/>
      <c r="R1" s="11"/>
      <c r="S1" s="11"/>
      <c r="T1" s="11"/>
    </row>
    <row r="2" spans="1:20" s="8" customFormat="1" x14ac:dyDescent="0.25">
      <c r="A2" s="9"/>
      <c r="B2" s="9"/>
      <c r="C2" s="9"/>
      <c r="D2" s="11"/>
      <c r="E2" s="11"/>
      <c r="F2" s="11"/>
      <c r="G2" s="11"/>
      <c r="H2" s="11"/>
      <c r="I2" s="11"/>
      <c r="J2" s="11"/>
      <c r="K2" s="11"/>
      <c r="L2" s="11"/>
      <c r="M2" s="11"/>
      <c r="N2" s="11"/>
      <c r="O2" s="11"/>
      <c r="P2" s="11"/>
      <c r="Q2" s="11"/>
      <c r="R2" s="11"/>
      <c r="S2" s="11"/>
      <c r="T2" s="11"/>
    </row>
    <row r="3" spans="1:20" s="8" customFormat="1" x14ac:dyDescent="0.25">
      <c r="A3" s="9"/>
      <c r="B3" s="9"/>
      <c r="C3" s="9"/>
      <c r="D3" s="11"/>
      <c r="E3" s="11"/>
      <c r="F3" s="11"/>
      <c r="G3" s="11"/>
      <c r="H3" s="11"/>
      <c r="I3" s="11"/>
      <c r="J3" s="11"/>
      <c r="K3" s="11"/>
      <c r="L3" s="11"/>
      <c r="M3" s="11"/>
      <c r="N3" s="11"/>
      <c r="O3" s="11"/>
      <c r="P3" s="11"/>
      <c r="Q3" s="11"/>
      <c r="R3" s="11"/>
      <c r="S3" s="11"/>
      <c r="T3" s="11"/>
    </row>
    <row r="4" spans="1:20" s="8" customFormat="1" x14ac:dyDescent="0.25">
      <c r="A4" s="9"/>
      <c r="B4" s="9"/>
      <c r="C4" s="9"/>
      <c r="D4" s="11"/>
      <c r="E4" s="11"/>
      <c r="F4" s="11"/>
      <c r="G4" s="11"/>
      <c r="H4" s="11"/>
      <c r="I4" s="11"/>
      <c r="J4" s="11"/>
      <c r="K4" s="11"/>
      <c r="L4" s="11"/>
      <c r="M4" s="11"/>
      <c r="N4" s="11"/>
      <c r="O4" s="11"/>
      <c r="P4" s="11"/>
      <c r="Q4" s="11"/>
      <c r="R4" s="11"/>
      <c r="S4" s="11"/>
      <c r="T4" s="11"/>
    </row>
    <row r="5" spans="1:20" s="8" customFormat="1" x14ac:dyDescent="0.25">
      <c r="A5" s="9"/>
      <c r="B5" s="9"/>
      <c r="C5" s="9"/>
      <c r="D5" s="11"/>
      <c r="E5" s="11"/>
      <c r="F5" s="11"/>
      <c r="G5" s="11"/>
      <c r="H5" s="11"/>
      <c r="I5" s="11"/>
      <c r="J5" s="11"/>
      <c r="K5" s="11"/>
      <c r="L5" s="11"/>
      <c r="M5" s="11"/>
      <c r="N5" s="11"/>
      <c r="O5" s="11"/>
      <c r="P5" s="11"/>
      <c r="Q5" s="11"/>
      <c r="R5" s="11"/>
      <c r="S5" s="11"/>
      <c r="T5" s="11"/>
    </row>
    <row r="6" spans="1:20" x14ac:dyDescent="0.25">
      <c r="E6" s="13" t="s">
        <v>54</v>
      </c>
      <c r="F6" s="13"/>
      <c r="G6" s="13"/>
      <c r="I6" s="13" t="s">
        <v>55</v>
      </c>
      <c r="J6" s="14"/>
      <c r="K6" s="14"/>
      <c r="M6" s="13" t="s">
        <v>56</v>
      </c>
      <c r="N6" s="13"/>
      <c r="O6" s="13"/>
    </row>
    <row r="7" spans="1:20" x14ac:dyDescent="0.25">
      <c r="E7" s="13"/>
      <c r="F7" s="13"/>
      <c r="G7" s="13"/>
      <c r="I7" s="14"/>
      <c r="J7" s="14"/>
      <c r="K7" s="14"/>
      <c r="M7" s="13"/>
      <c r="N7" s="13"/>
      <c r="O7" s="13"/>
    </row>
    <row r="8" spans="1:20" x14ac:dyDescent="0.25">
      <c r="E8" s="15">
        <f>GETPIVOTDATA("Average of Income",'Pivot Table 2'!$C$3)</f>
        <v>56360</v>
      </c>
      <c r="F8" s="15"/>
      <c r="G8" s="15"/>
      <c r="I8" s="16">
        <f>GETPIVOTDATA("Children",'Pivot Table 1'!$A$41)</f>
        <v>1.8979999999999999</v>
      </c>
      <c r="J8" s="16"/>
      <c r="K8" s="16"/>
      <c r="M8" s="17" t="s">
        <v>13</v>
      </c>
      <c r="N8" s="14"/>
      <c r="O8" s="14"/>
    </row>
    <row r="9" spans="1:20" x14ac:dyDescent="0.25">
      <c r="E9" s="15"/>
      <c r="F9" s="15"/>
      <c r="G9" s="15"/>
      <c r="I9" s="16"/>
      <c r="J9" s="16"/>
      <c r="K9" s="16"/>
      <c r="M9" s="14"/>
      <c r="N9" s="14"/>
      <c r="O9" s="14"/>
    </row>
  </sheetData>
  <mergeCells count="7">
    <mergeCell ref="D1:T5"/>
    <mergeCell ref="E6:G7"/>
    <mergeCell ref="E8:G9"/>
    <mergeCell ref="I6:K7"/>
    <mergeCell ref="I8:K9"/>
    <mergeCell ref="M6:O7"/>
    <mergeCell ref="M8: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Bike_Buyers_Cleaned</vt:lpstr>
      <vt:lpstr>Pivot Table 1</vt:lpstr>
      <vt:lpstr>Pivot Table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Fahad</cp:lastModifiedBy>
  <dcterms:created xsi:type="dcterms:W3CDTF">2022-03-18T02:50:57Z</dcterms:created>
  <dcterms:modified xsi:type="dcterms:W3CDTF">2026-08-07T12:00:41Z</dcterms:modified>
</cp:coreProperties>
</file>